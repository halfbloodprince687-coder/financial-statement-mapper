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Current" sheetId="1" state="visible" r:id="rId3"/>
    <sheet name="PLPrevious" sheetId="2" state="visible" r:id="rId4"/>
    <sheet name="BSCurrent" sheetId="3" state="visible" r:id="rId5"/>
    <sheet name="BSPrevious" sheetId="4" state="visible" r:id="rId6"/>
    <sheet name="BSTrade" sheetId="5" state="visible" r:id="rId7"/>
    <sheet name="Financial" sheetId="6" state="visible" r:id="rId8"/>
    <sheet name="Capital" sheetId="7" state="visible" r:id="rId9"/>
  </sheets>
  <definedNames>
    <definedName function="false" hidden="false" name="purforResale" vbProcedure="false">PLCurrent!$E$18</definedName>
    <definedName function="false" hidden="false" name="rawmat" vbProcedure="false">PLCurrent!$E$17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<sst xmlns="http://schemas.openxmlformats.org/spreadsheetml/2006/main" count="853" uniqueCount="475">
  <si>
    <t xml:space="preserve">FieldPLBS01</t>
  </si>
  <si>
    <t xml:space="preserve">FieldPLBS02</t>
  </si>
  <si>
    <t xml:space="preserve">FieldPLBS03</t>
  </si>
  <si>
    <t xml:space="preserve">FieldPLBS04</t>
  </si>
  <si>
    <t xml:space="preserve">I. STATEMENT OF PROFIT AND LOSS (As per Schedule VI to the Companies Act, 1956 applicable for the financial year commencing on or after 1.4.2011)</t>
  </si>
  <si>
    <t xml:space="preserve">Figures for the period 
(Current reporting period) in Rs.</t>
  </si>
  <si>
    <t xml:space="preserve">(I)</t>
  </si>
  <si>
    <t xml:space="preserve">Revenue from operations</t>
  </si>
  <si>
    <t xml:space="preserve">Domestic turnover</t>
  </si>
  <si>
    <t xml:space="preserve">(i) Sale of goods manufactured</t>
  </si>
  <si>
    <t xml:space="preserve">dom_manufracture</t>
  </si>
  <si>
    <t xml:space="preserve">(ii) Sale of goods traded</t>
  </si>
  <si>
    <t xml:space="preserve">dom_traded</t>
  </si>
  <si>
    <t xml:space="preserve">(iii) Sale or supply of services</t>
  </si>
  <si>
    <t xml:space="preserve">dom_supply</t>
  </si>
  <si>
    <t xml:space="preserve">Export turnover</t>
  </si>
  <si>
    <t xml:space="preserve">exp_manufRacture</t>
  </si>
  <si>
    <t xml:space="preserve">exp_traded</t>
  </si>
  <si>
    <t xml:space="preserve">exp_supply</t>
  </si>
  <si>
    <t xml:space="preserve">(II)</t>
  </si>
  <si>
    <t xml:space="preserve">Other Income</t>
  </si>
  <si>
    <t xml:space="preserve">other_income</t>
  </si>
  <si>
    <t xml:space="preserve">(III)</t>
  </si>
  <si>
    <t xml:space="preserve">Total Revenue (I + II)</t>
  </si>
  <si>
    <t xml:space="preserve">Total_income</t>
  </si>
  <si>
    <t xml:space="preserve">(IV)</t>
  </si>
  <si>
    <t xml:space="preserve">Expenses</t>
  </si>
  <si>
    <t xml:space="preserve">Cost of materials consumed</t>
  </si>
  <si>
    <t xml:space="preserve">rawmat</t>
  </si>
  <si>
    <t xml:space="preserve">Purchases of stock in trade</t>
  </si>
  <si>
    <t xml:space="preserve">purforResale</t>
  </si>
  <si>
    <t xml:space="preserve">Changes in inventories of finished goods</t>
  </si>
  <si>
    <t xml:space="preserve">storeSpare</t>
  </si>
  <si>
    <t xml:space="preserve">Work-in-Progress</t>
  </si>
  <si>
    <t xml:space="preserve">Work_in_Progress</t>
  </si>
  <si>
    <t xml:space="preserve">Stock in trade</t>
  </si>
  <si>
    <t xml:space="preserve">Stock_in_Progress</t>
  </si>
  <si>
    <t xml:space="preserve">Employee benefit expense</t>
  </si>
  <si>
    <t xml:space="preserve">Salaries</t>
  </si>
  <si>
    <t xml:space="preserve">Managerial remuneration</t>
  </si>
  <si>
    <t xml:space="preserve">Manager_salary</t>
  </si>
  <si>
    <t xml:space="preserve">Payment to Auditors</t>
  </si>
  <si>
    <t xml:space="preserve">AuditorPayment</t>
  </si>
  <si>
    <t xml:space="preserve">Insurance expenses</t>
  </si>
  <si>
    <t xml:space="preserve">Insurance</t>
  </si>
  <si>
    <t xml:space="preserve">Power and fuel</t>
  </si>
  <si>
    <t xml:space="preserve">PowerFuel</t>
  </si>
  <si>
    <t xml:space="preserve">Finance cost</t>
  </si>
  <si>
    <t xml:space="preserve">IntPaid</t>
  </si>
  <si>
    <t xml:space="preserve">Depreciation and amortization expense</t>
  </si>
  <si>
    <t xml:space="preserve">DepAmort</t>
  </si>
  <si>
    <t xml:space="preserve">Other expenses</t>
  </si>
  <si>
    <t xml:space="preserve">OtherExp</t>
  </si>
  <si>
    <t xml:space="preserve">Total expenses</t>
  </si>
  <si>
    <t xml:space="preserve">TotalExp</t>
  </si>
  <si>
    <t xml:space="preserve">(v)</t>
  </si>
  <si>
    <t xml:space="preserve">Profit before exceptional and
extraordinary items and tax (III-IV)</t>
  </si>
  <si>
    <t xml:space="preserve">ProfitExcBTax</t>
  </si>
  <si>
    <t xml:space="preserve">(Vi)</t>
  </si>
  <si>
    <t xml:space="preserve">Exceptional items</t>
  </si>
  <si>
    <t xml:space="preserve">ExcepItemTotal</t>
  </si>
  <si>
    <t xml:space="preserve">(vii)</t>
  </si>
  <si>
    <t xml:space="preserve">Profit before extraordinary items
and tax (V-VI)</t>
  </si>
  <si>
    <t xml:space="preserve">ProfitExtraBTax</t>
  </si>
  <si>
    <t xml:space="preserve">(VIII)</t>
  </si>
  <si>
    <t xml:space="preserve">Extraordinary items</t>
  </si>
  <si>
    <t xml:space="preserve">ExtraItemTotal</t>
  </si>
  <si>
    <t xml:space="preserve">(IX)</t>
  </si>
  <si>
    <t xml:space="preserve">Profit before tax (VII-VIII)</t>
  </si>
  <si>
    <t xml:space="preserve">ProfitBTax</t>
  </si>
  <si>
    <t xml:space="preserve">(X)</t>
  </si>
  <si>
    <t xml:space="preserve">Tax Expense</t>
  </si>
  <si>
    <t xml:space="preserve">(1) Current tax</t>
  </si>
  <si>
    <t xml:space="preserve">Itax1</t>
  </si>
  <si>
    <t xml:space="preserve">(2) Deferred tax</t>
  </si>
  <si>
    <t xml:space="preserve">Itax2</t>
  </si>
  <si>
    <t xml:space="preserve">(XI)</t>
  </si>
  <si>
    <t xml:space="preserve">Profit/ (Loss) for the period from
continuing operations (IX-X)</t>
  </si>
  <si>
    <t xml:space="preserve">ProfitContOpera</t>
  </si>
  <si>
    <t xml:space="preserve">(XII)</t>
  </si>
  <si>
    <t xml:space="preserve">Profit/ (Loss) from discontinuing
operations</t>
  </si>
  <si>
    <t xml:space="preserve">ProfitDContOpera</t>
  </si>
  <si>
    <t xml:space="preserve">(XIII)</t>
  </si>
  <si>
    <t xml:space="preserve">Tax expense of discontinuing operations</t>
  </si>
  <si>
    <t xml:space="preserve">TaxDContOpera</t>
  </si>
  <si>
    <t xml:space="preserve">(XIV)</t>
  </si>
  <si>
    <t xml:space="preserve">Profit/ (Loss) from discontinuing
operations (after tax) (XII-XIII)</t>
  </si>
  <si>
    <t xml:space="preserve">ProfitDContATax</t>
  </si>
  <si>
    <t xml:space="preserve">(XV)</t>
  </si>
  <si>
    <t xml:space="preserve">Profit/ (Loss) (XI+XIV)</t>
  </si>
  <si>
    <t xml:space="preserve">NetPL</t>
  </si>
  <si>
    <t xml:space="preserve">(XVI)</t>
  </si>
  <si>
    <t xml:space="preserve">Earnings per equity share before extraordinary items</t>
  </si>
  <si>
    <t xml:space="preserve">(1) Basic</t>
  </si>
  <si>
    <t xml:space="preserve">BasicEarn</t>
  </si>
  <si>
    <t xml:space="preserve">(2) Diluted</t>
  </si>
  <si>
    <t xml:space="preserve">DilutedEarn</t>
  </si>
  <si>
    <t xml:space="preserve">(XVII)</t>
  </si>
  <si>
    <t xml:space="preserve">Earnings per equity share after extraordinary items</t>
  </si>
  <si>
    <t xml:space="preserve">Basic_1</t>
  </si>
  <si>
    <t xml:space="preserve">Diluted_2</t>
  </si>
  <si>
    <t xml:space="preserve">II.</t>
  </si>
  <si>
    <t xml:space="preserve">Detailed Profit and Loss items (Amount in Rupees)</t>
  </si>
  <si>
    <t xml:space="preserve">A. </t>
  </si>
  <si>
    <t xml:space="preserve">Details of earning in foreign exchange</t>
  </si>
  <si>
    <t xml:space="preserve">Particulars </t>
  </si>
  <si>
    <t xml:space="preserve">Export of goods calculated on FOB basis</t>
  </si>
  <si>
    <t xml:space="preserve">Goods_FOB</t>
  </si>
  <si>
    <t xml:space="preserve">Interest and dividend</t>
  </si>
  <si>
    <t xml:space="preserve">Interest_Div</t>
  </si>
  <si>
    <t xml:space="preserve">Royalty</t>
  </si>
  <si>
    <t xml:space="preserve">Royality</t>
  </si>
  <si>
    <t xml:space="preserve">Know-how</t>
  </si>
  <si>
    <t xml:space="preserve">Know_How</t>
  </si>
  <si>
    <t xml:space="preserve">Professional and consultation fees</t>
  </si>
  <si>
    <t xml:space="preserve">Professional_Fee</t>
  </si>
  <si>
    <t xml:space="preserve">Other income</t>
  </si>
  <si>
    <t xml:space="preserve">Other_Inc</t>
  </si>
  <si>
    <t xml:space="preserve">Total Earning in Foreign Exchange</t>
  </si>
  <si>
    <t xml:space="preserve">TotalEarning_FE</t>
  </si>
  <si>
    <t xml:space="preserve">B.</t>
  </si>
  <si>
    <t xml:space="preserve">Details of expenditure in foreign exchange</t>
  </si>
  <si>
    <t xml:space="preserve">Import of goods calculated on CIF basis</t>
  </si>
  <si>
    <t xml:space="preserve">Goods_CIF</t>
  </si>
  <si>
    <t xml:space="preserve">(i) Raw material</t>
  </si>
  <si>
    <t xml:space="preserve">RAW_MAT</t>
  </si>
  <si>
    <t xml:space="preserve">(ii) Component and spare parts</t>
  </si>
  <si>
    <t xml:space="preserve">Spare_Parts</t>
  </si>
  <si>
    <t xml:space="preserve">(iii) Capital goods</t>
  </si>
  <si>
    <t xml:space="preserve">Capital_Goods</t>
  </si>
  <si>
    <t xml:space="preserve">Expenditure on account of</t>
  </si>
  <si>
    <t xml:space="preserve">Royality_B</t>
  </si>
  <si>
    <t xml:space="preserve">Know_How_B</t>
  </si>
  <si>
    <t xml:space="preserve">Consulation_fees_B</t>
  </si>
  <si>
    <t xml:space="preserve">Interest</t>
  </si>
  <si>
    <t xml:space="preserve">Interest_B</t>
  </si>
  <si>
    <t xml:space="preserve">Other matters</t>
  </si>
  <si>
    <t xml:space="preserve">Other_Matters</t>
  </si>
  <si>
    <t xml:space="preserve">Dividend paid</t>
  </si>
  <si>
    <t xml:space="preserve">Divident_Paid</t>
  </si>
  <si>
    <t xml:space="preserve">Total Expenditure in foreign exchange</t>
  </si>
  <si>
    <t xml:space="preserve">TotExpinforExchange</t>
  </si>
  <si>
    <t xml:space="preserve">Figures for the period 
(Previous reporting period) in Rs.</t>
  </si>
  <si>
    <t xml:space="preserve">Pre_Work_in_Progress</t>
  </si>
  <si>
    <t xml:space="preserve">Pre_Stock_in_Progress</t>
  </si>
  <si>
    <t xml:space="preserve">Pre_Basic_1</t>
  </si>
  <si>
    <t xml:space="preserve">Pre_Diluted_2</t>
  </si>
  <si>
    <t xml:space="preserve">I. BALANCE SHEET ((As per Schedule VI to the Companies Act, 1956 applicable for the financial
year commencing on or after 1.4.2011)</t>
  </si>
  <si>
    <t xml:space="preserve">Particulars</t>
  </si>
  <si>
    <t xml:space="preserve">Figures as at the end of
(Current reporting period)
(in Rs. `)</t>
  </si>
  <si>
    <t xml:space="preserve">EQUITY AND LIABILITIES</t>
  </si>
  <si>
    <t xml:space="preserve">Shareholders' funds</t>
  </si>
  <si>
    <t xml:space="preserve">(a) Share capital</t>
  </si>
  <si>
    <t xml:space="preserve">EQL_sharecap</t>
  </si>
  <si>
    <t xml:space="preserve">(b) Reserves and surplus</t>
  </si>
  <si>
    <t xml:space="preserve">EQL_ressurp</t>
  </si>
  <si>
    <t xml:space="preserve">(c) Money received against share warrants</t>
  </si>
  <si>
    <t xml:space="preserve">EQL_mrcvshrwrnts</t>
  </si>
  <si>
    <t xml:space="preserve">Share application money pending allotment</t>
  </si>
  <si>
    <t xml:space="preserve">EQL_shareappallot</t>
  </si>
  <si>
    <t xml:space="preserve">Non-current liabilities</t>
  </si>
  <si>
    <t xml:space="preserve">(a) Long-term borrowings</t>
  </si>
  <si>
    <t xml:space="preserve">EQL_longborrowing</t>
  </si>
  <si>
    <t xml:space="preserve">(b) Deferred tax liabilities (net)</t>
  </si>
  <si>
    <t xml:space="preserve">EQL_deftaxliabnet</t>
  </si>
  <si>
    <t xml:space="preserve">(c) Other long term liabilities</t>
  </si>
  <si>
    <t xml:space="preserve">EQL_otherlongliab</t>
  </si>
  <si>
    <t xml:space="preserve">(d) Long term provisions</t>
  </si>
  <si>
    <t xml:space="preserve">EQL_longprovisions</t>
  </si>
  <si>
    <t xml:space="preserve">Current liabilities</t>
  </si>
  <si>
    <t xml:space="preserve">(a) Short-term borrowings</t>
  </si>
  <si>
    <t xml:space="preserve">EQL_shortborrowing</t>
  </si>
  <si>
    <t xml:space="preserve">(b) Trade payables</t>
  </si>
  <si>
    <t xml:space="preserve">EQL_tradepay</t>
  </si>
  <si>
    <t xml:space="preserve">(c) Other current liabilities</t>
  </si>
  <si>
    <t xml:space="preserve">EQL_othercurliab</t>
  </si>
  <si>
    <t xml:space="preserve">(d) Short -term provisions</t>
  </si>
  <si>
    <t xml:space="preserve">EQL_shortprovisions</t>
  </si>
  <si>
    <t xml:space="preserve">Total</t>
  </si>
  <si>
    <t xml:space="preserve">EQL_tot</t>
  </si>
  <si>
    <t xml:space="preserve">II</t>
  </si>
  <si>
    <t xml:space="preserve">ASSETS</t>
  </si>
  <si>
    <t xml:space="preserve">Non-current assets</t>
  </si>
  <si>
    <t xml:space="preserve">(a) Fixed assets</t>
  </si>
  <si>
    <t xml:space="preserve">(i) Tangible assets</t>
  </si>
  <si>
    <t xml:space="preserve">NCA_tangassets</t>
  </si>
  <si>
    <t xml:space="preserve">(ii) Intangible assets</t>
  </si>
  <si>
    <t xml:space="preserve">NCA_intangassets</t>
  </si>
  <si>
    <t xml:space="preserve">(iii) Capital work-in-progress</t>
  </si>
  <si>
    <t xml:space="preserve">NCA_capinprogrs</t>
  </si>
  <si>
    <t xml:space="preserve">(iv) Intangible assets under development</t>
  </si>
  <si>
    <t xml:space="preserve">NCA_intgassetsdev</t>
  </si>
  <si>
    <t xml:space="preserve">(b) Non-current Investments</t>
  </si>
  <si>
    <t xml:space="preserve">NCA_noncurinvst</t>
  </si>
  <si>
    <t xml:space="preserve">(c) Deferred tax assets (net)</t>
  </si>
  <si>
    <t xml:space="preserve">NCA_deftaxasstsnet</t>
  </si>
  <si>
    <t xml:space="preserve">(d) Long-term loans and advances</t>
  </si>
  <si>
    <t xml:space="preserve">NCA_longloansadv</t>
  </si>
  <si>
    <t xml:space="preserve">(e) Other non-current assets</t>
  </si>
  <si>
    <t xml:space="preserve">NCA_othernoncurrassts</t>
  </si>
  <si>
    <t xml:space="preserve">Current assets</t>
  </si>
  <si>
    <t xml:space="preserve">(a) Current investments</t>
  </si>
  <si>
    <t xml:space="preserve">CA_curinv</t>
  </si>
  <si>
    <t xml:space="preserve">(b) Inventories</t>
  </si>
  <si>
    <t xml:space="preserve">CA_inventories</t>
  </si>
  <si>
    <t xml:space="preserve">(c) Trade receivables</t>
  </si>
  <si>
    <t xml:space="preserve">CA_tradercv</t>
  </si>
  <si>
    <t xml:space="preserve">(d) Cash and cash equivalents</t>
  </si>
  <si>
    <t xml:space="preserve">CA_cashcasheqv</t>
  </si>
  <si>
    <t xml:space="preserve">(e) Short-term loans and advances</t>
  </si>
  <si>
    <t xml:space="preserve">CA_shortloansadv</t>
  </si>
  <si>
    <t xml:space="preserve">(f) Other current assets</t>
  </si>
  <si>
    <t xml:space="preserve">CA_othercurassts</t>
  </si>
  <si>
    <t xml:space="preserve">CA_tot</t>
  </si>
  <si>
    <t xml:space="preserve">II. Detailed Balance sheet items (Amount in Rs. `) as on balance sheet date (Applicable in case of Revised Schedule VI- that is for financial year commencing on or after 01.04.2011)</t>
  </si>
  <si>
    <t xml:space="preserve">A. Details of long term borrowings (unsecured)</t>
  </si>
  <si>
    <t xml:space="preserve">Current reporting period</t>
  </si>
  <si>
    <t xml:space="preserve">Bonds/ debentures</t>
  </si>
  <si>
    <t xml:space="preserve">LBU_bondsdeb</t>
  </si>
  <si>
    <t xml:space="preserve">Term Loans</t>
  </si>
  <si>
    <t xml:space="preserve">From banks</t>
  </si>
  <si>
    <t xml:space="preserve">LBU_frombanks</t>
  </si>
  <si>
    <t xml:space="preserve">From other parties</t>
  </si>
  <si>
    <t xml:space="preserve">LBU_fromotherpart</t>
  </si>
  <si>
    <t xml:space="preserve">Deferred payment liabilities</t>
  </si>
  <si>
    <t xml:space="preserve">LBU_defpayliab</t>
  </si>
  <si>
    <t xml:space="preserve">Deposits</t>
  </si>
  <si>
    <t xml:space="preserve">LBU_deposits</t>
  </si>
  <si>
    <t xml:space="preserve">Loans and advances from related parties</t>
  </si>
  <si>
    <t xml:space="preserve">LBU_loansadvrelpart</t>
  </si>
  <si>
    <t xml:space="preserve">Long term maturities of finance lease
obligations</t>
  </si>
  <si>
    <t xml:space="preserve">LBU_longmatfinlsob</t>
  </si>
  <si>
    <t xml:space="preserve">Other loans &amp; advances</t>
  </si>
  <si>
    <t xml:space="preserve">LBU_otherloansadv</t>
  </si>
  <si>
    <t xml:space="preserve">Total long term borrowings (unsecured)</t>
  </si>
  <si>
    <t xml:space="preserve">LBU_totlongborrowings</t>
  </si>
  <si>
    <t xml:space="preserve">Out of above total, aggregate amount
guaranteed by directors</t>
  </si>
  <si>
    <t xml:space="preserve">LBU_aggramt</t>
  </si>
  <si>
    <t xml:space="preserve">B. Details of short term borrowings (unsecured)</t>
  </si>
  <si>
    <t xml:space="preserve">Loans repayable on demand</t>
  </si>
  <si>
    <t xml:space="preserve">SBU_frombanks</t>
  </si>
  <si>
    <t xml:space="preserve">SBU_fromotherpart</t>
  </si>
  <si>
    <t xml:space="preserve">SBU_loansadvrelpart</t>
  </si>
  <si>
    <t xml:space="preserve">SBU_deposits</t>
  </si>
  <si>
    <t xml:space="preserve">Other loans and advances</t>
  </si>
  <si>
    <t xml:space="preserve">SBU_otherloansadv</t>
  </si>
  <si>
    <t xml:space="preserve">Total short term borrowings (unsecured)</t>
  </si>
  <si>
    <t xml:space="preserve">SBU_totshortborrowing</t>
  </si>
  <si>
    <t xml:space="preserve">SBU_aggramt</t>
  </si>
  <si>
    <t xml:space="preserve">C. Details of long term loans and advances (unsecured, considered good)</t>
  </si>
  <si>
    <t xml:space="preserve">Capital advances</t>
  </si>
  <si>
    <t xml:space="preserve">LTL_capadv</t>
  </si>
  <si>
    <t xml:space="preserve">Security deposits</t>
  </si>
  <si>
    <t xml:space="preserve">LTL_secdep</t>
  </si>
  <si>
    <t xml:space="preserve">Loans and advances to other related parties</t>
  </si>
  <si>
    <t xml:space="preserve">LTL_loansadvothrelpart</t>
  </si>
  <si>
    <t xml:space="preserve">LTL_Otherloansadv</t>
  </si>
  <si>
    <t xml:space="preserve">Total long term loan and advances</t>
  </si>
  <si>
    <t xml:space="preserve">LTL_totlongloanadv</t>
  </si>
  <si>
    <t xml:space="preserve">Less: Provision/ allowance for bad and
doubtful loans and advances</t>
  </si>
  <si>
    <t xml:space="preserve">From related parties</t>
  </si>
  <si>
    <t xml:space="preserve">LTL_fromrelpart</t>
  </si>
  <si>
    <t xml:space="preserve">From others</t>
  </si>
  <si>
    <t xml:space="preserve">LTL_fromothers</t>
  </si>
  <si>
    <t xml:space="preserve">Net long term loan and advances
(unsecured, considered good)</t>
  </si>
  <si>
    <t xml:space="preserve">LTL_netlongloansadv</t>
  </si>
  <si>
    <t xml:space="preserve">Loans and advances due by directors/ other
officers of the company (refer note 6.L.(iv)
of Schedule VI)</t>
  </si>
  <si>
    <t xml:space="preserve">LTL_loansadvdue</t>
  </si>
  <si>
    <t xml:space="preserve">D. Details of long term loans and advances (doubtful)</t>
  </si>
  <si>
    <t xml:space="preserve">LTLD_capadv</t>
  </si>
  <si>
    <t xml:space="preserve">LTLD_secdep</t>
  </si>
  <si>
    <t xml:space="preserve">Loans and advances to related parties</t>
  </si>
  <si>
    <t xml:space="preserve">LTLD_loansadvrelpart</t>
  </si>
  <si>
    <t xml:space="preserve">LTLD_Otherloansadv</t>
  </si>
  <si>
    <t xml:space="preserve">LTLD_totlongloanadv</t>
  </si>
  <si>
    <t xml:space="preserve">LTLD_fromrelpart</t>
  </si>
  <si>
    <t xml:space="preserve">LTLD_fromothers</t>
  </si>
  <si>
    <t xml:space="preserve">Net long term loan and advances (doubtful)</t>
  </si>
  <si>
    <t xml:space="preserve">LTLD_netlongloansadv</t>
  </si>
  <si>
    <t xml:space="preserve">LTLD_loansadvdue</t>
  </si>
  <si>
    <t xml:space="preserve">I. BALANCE SHEET (As per Schedule VI to the Companies Act, 1956 applicable for the financial
year commencing on or after 1.4.2011)</t>
  </si>
  <si>
    <t xml:space="preserve">Figures as at the end of
(Previous reporting period)
(in Rs. `)</t>
  </si>
  <si>
    <t xml:space="preserve">Previous reporting period</t>
  </si>
  <si>
    <t xml:space="preserve">FieldPLBS05</t>
  </si>
  <si>
    <t xml:space="preserve">FieldPLBS06</t>
  </si>
  <si>
    <t xml:space="preserve">FieldPLBS07</t>
  </si>
  <si>
    <t xml:space="preserve">FieldPLBS08</t>
  </si>
  <si>
    <t xml:space="preserve">FieldPLBS09</t>
  </si>
  <si>
    <t xml:space="preserve">FieldPLBS10</t>
  </si>
  <si>
    <t xml:space="preserve">E. Details of trade receivables</t>
  </si>
  <si>
    <t xml:space="preserve">Exceeding six months</t>
  </si>
  <si>
    <t xml:space="preserve">Within six months</t>
  </si>
  <si>
    <t xml:space="preserve">Secured, considered good</t>
  </si>
  <si>
    <t xml:space="preserve">TR_secgooda6mths</t>
  </si>
  <si>
    <t xml:space="preserve">TR_secgoodb6mths</t>
  </si>
  <si>
    <t xml:space="preserve">Unsecured, considered good</t>
  </si>
  <si>
    <t xml:space="preserve">TR_unsecgooda6mths</t>
  </si>
  <si>
    <t xml:space="preserve">TR_unsecgoodb6mths</t>
  </si>
  <si>
    <t xml:space="preserve">Doubtful</t>
  </si>
  <si>
    <t xml:space="preserve">TR_doubtfula6mths</t>
  </si>
  <si>
    <t xml:space="preserve">TR_doubtfulb6mths</t>
  </si>
  <si>
    <t xml:space="preserve">Total trade receivables</t>
  </si>
  <si>
    <t xml:space="preserve">TR_tottrdreca6mths</t>
  </si>
  <si>
    <t xml:space="preserve">TR_tottrdrecb6mths</t>
  </si>
  <si>
    <t xml:space="preserve">Less: Provision/ allowance for bad and
doubtful debts</t>
  </si>
  <si>
    <t xml:space="preserve">TR_provallowa6mths</t>
  </si>
  <si>
    <t xml:space="preserve">TR_provallowb6mths</t>
  </si>
  <si>
    <t xml:space="preserve">Net trade receivables</t>
  </si>
  <si>
    <t xml:space="preserve">TR_nettrdrcva6mths</t>
  </si>
  <si>
    <t xml:space="preserve">TR_nettrdrcvb6mths</t>
  </si>
  <si>
    <t xml:space="preserve">Debt due by directors/ others officers of
the company (refer note 6.m.iii.iii of
Schedule VI)</t>
  </si>
  <si>
    <t xml:space="preserve">TR_debtduea6mths</t>
  </si>
  <si>
    <t xml:space="preserve">TR_debtdueb6mths</t>
  </si>
  <si>
    <t xml:space="preserve">III. Financial parameters - Profit and loss account items (Amount in  Rs.) during the reporting period</t>
  </si>
  <si>
    <t xml:space="preserve">Amount in Rs. </t>
  </si>
  <si>
    <t xml:space="preserve">*Proposed Dividend</t>
  </si>
  <si>
    <t xml:space="preserve">Pl_Div</t>
  </si>
  <si>
    <t xml:space="preserve">*Earning per share (in Rs)    Basic</t>
  </si>
  <si>
    <t xml:space="preserve">Pl_Earning</t>
  </si>
  <si>
    <t xml:space="preserve">                                         Diluted</t>
  </si>
  <si>
    <t xml:space="preserve">Pl_EarningDiluted</t>
  </si>
  <si>
    <t xml:space="preserve">*Income in foreign currency</t>
  </si>
  <si>
    <t xml:space="preserve">Pl_incomeFC</t>
  </si>
  <si>
    <t xml:space="preserve">*Expenditure in foreign currency</t>
  </si>
  <si>
    <t xml:space="preserve">Pl_ExpFc</t>
  </si>
  <si>
    <t xml:space="preserve">*Revenue subsidies or grants recieved from government authority(s)</t>
  </si>
  <si>
    <t xml:space="preserve">Pl_Subsidy</t>
  </si>
  <si>
    <t xml:space="preserve">*Rent paid</t>
  </si>
  <si>
    <t xml:space="preserve">Pl_Rent</t>
  </si>
  <si>
    <t xml:space="preserve">*Consumption of stores and spare parts</t>
  </si>
  <si>
    <t xml:space="preserve">Pl_Consumption</t>
  </si>
  <si>
    <t xml:space="preserve">*Gross value of the transaction with the related parties as per AS-18 (if applicable)</t>
  </si>
  <si>
    <t xml:space="preserve">Pl_GrossVal</t>
  </si>
  <si>
    <t xml:space="preserve">*Bad debts of related parties as per AS-18 (if applicable)</t>
  </si>
  <si>
    <t xml:space="preserve">Pl_BadDEBT</t>
  </si>
  <si>
    <t xml:space="preserve">III. Financial parameters - Balance sheet items (Amount in Rs. ) as on balance sheet date (unless specified otherwise)</t>
  </si>
  <si>
    <t xml:space="preserve">*Amount of issue allotted for contracts without payment received in cash during reporting period</t>
  </si>
  <si>
    <t xml:space="preserve">Bl_AplIssuCash</t>
  </si>
  <si>
    <t xml:space="preserve">*Share application money given</t>
  </si>
  <si>
    <t xml:space="preserve">Bl_AplPaid</t>
  </si>
  <si>
    <t xml:space="preserve">*Share application money given during the reporting period</t>
  </si>
  <si>
    <t xml:space="preserve">Bl_AplPaid_onPeriod</t>
  </si>
  <si>
    <t xml:space="preserve">*Share application money received during the reporting period</t>
  </si>
  <si>
    <t xml:space="preserve">Bl_Aplrecd_onPeriod</t>
  </si>
  <si>
    <t xml:space="preserve">*Paid-up capital held by foreign company</t>
  </si>
  <si>
    <t xml:space="preserve">Bl_Foreign</t>
  </si>
  <si>
    <t xml:space="preserve">Bl_Per</t>
  </si>
  <si>
    <t xml:space="preserve">Percent</t>
  </si>
  <si>
    <t xml:space="preserve">*Paid-up capital held by foreign holding company and/ or through its subsidiaries</t>
  </si>
  <si>
    <t xml:space="preserve">Bl_ForeignSubsid</t>
  </si>
  <si>
    <t xml:space="preserve">Bl_PerSubsid</t>
  </si>
  <si>
    <t xml:space="preserve">*Number of shares bought back during the reporting period</t>
  </si>
  <si>
    <t xml:space="preserve">Bl_BuyBack</t>
  </si>
  <si>
    <t xml:space="preserve">*Deposits accepted or renewed during the reporting period</t>
  </si>
  <si>
    <t xml:space="preserve">Bl_PublDeposit</t>
  </si>
  <si>
    <t xml:space="preserve">*Deposits matured and claimed but not paid during reporting period</t>
  </si>
  <si>
    <t xml:space="preserve">Bl_DepositNpaid_onPeriod</t>
  </si>
  <si>
    <t xml:space="preserve">*Deposits matured and claimed, but not paid</t>
  </si>
  <si>
    <t xml:space="preserve">Bl_DepositNpaid</t>
  </si>
  <si>
    <t xml:space="preserve">*Deposits matured, but not claimed</t>
  </si>
  <si>
    <t xml:space="preserve">Bl_DepositNCliam</t>
  </si>
  <si>
    <t xml:space="preserve">*Unclaimed matured debentures</t>
  </si>
  <si>
    <t xml:space="preserve">Bl_UnCliamDeb</t>
  </si>
  <si>
    <t xml:space="preserve">*Debentures claimed but not paid</t>
  </si>
  <si>
    <t xml:space="preserve">Bl_DebCliamNpaid</t>
  </si>
  <si>
    <t xml:space="preserve">*Interest on deposits accrued and due but not paid</t>
  </si>
  <si>
    <t xml:space="preserve">Bl_DepositIntNpaid</t>
  </si>
  <si>
    <t xml:space="preserve">*Unpaid dividend</t>
  </si>
  <si>
    <t xml:space="preserve">Bl_UnpaidDiv</t>
  </si>
  <si>
    <t xml:space="preserve">*Investment in subsidiary companies</t>
  </si>
  <si>
    <t xml:space="preserve">Bl_InvstInSc</t>
  </si>
  <si>
    <t xml:space="preserve">*Investment in government companies</t>
  </si>
  <si>
    <t xml:space="preserve">Bl_InvstInGc</t>
  </si>
  <si>
    <t xml:space="preserve">*Capital reserve</t>
  </si>
  <si>
    <t xml:space="preserve">Bl_CapReserve</t>
  </si>
  <si>
    <t xml:space="preserve">*Amount due for transfer to Investor Education and Protection Fund (IEPF)</t>
  </si>
  <si>
    <t xml:space="preserve">Bl_AmtDue_IEPC</t>
  </si>
  <si>
    <t xml:space="preserve">*Inter- corporate deposits</t>
  </si>
  <si>
    <t xml:space="preserve">Bl_intCorpDev</t>
  </si>
  <si>
    <t xml:space="preserve">*Gross value of transaction as per AS-18 (if applicable)</t>
  </si>
  <si>
    <t xml:space="preserve">Bl_GrossValueTrans</t>
  </si>
  <si>
    <t xml:space="preserve">*Capital subsidies or grants received from government authority(s)</t>
  </si>
  <si>
    <t xml:space="preserve">Bl_CapsubsidyGrant</t>
  </si>
  <si>
    <t xml:space="preserve">*Calls unpaid by directors</t>
  </si>
  <si>
    <t xml:space="preserve">BL_CalUnpiadDir</t>
  </si>
  <si>
    <t xml:space="preserve">*Calls unpaid by others</t>
  </si>
  <si>
    <t xml:space="preserve">BL_CalUnpiadOther</t>
  </si>
  <si>
    <t xml:space="preserve">*Forfeited shares (amount originally paid-up)</t>
  </si>
  <si>
    <t xml:space="preserve">BL_Forfeit_shares</t>
  </si>
  <si>
    <t xml:space="preserve">*Forfeited shares reissued</t>
  </si>
  <si>
    <t xml:space="preserve">BL_Forfeit_share_Re</t>
  </si>
  <si>
    <t xml:space="preserve">*Borrowing from foreign institutional agencies</t>
  </si>
  <si>
    <t xml:space="preserve">BL_BorrowForeignIns</t>
  </si>
  <si>
    <t xml:space="preserve">*Borrowing from foreign companies</t>
  </si>
  <si>
    <t xml:space="preserve">BL_BorrowForeignCom</t>
  </si>
  <si>
    <t xml:space="preserve">*Inter-corporate borrowings - secured</t>
  </si>
  <si>
    <t xml:space="preserve">BL_InterCorpBorrsecur</t>
  </si>
  <si>
    <t xml:space="preserve">*Inter-corporate borrowings - unsecured</t>
  </si>
  <si>
    <t xml:space="preserve">BL_InterCorpBorrUnSecur</t>
  </si>
  <si>
    <t xml:space="preserve">*Commercial Paper</t>
  </si>
  <si>
    <t xml:space="preserve">BL_Comm_Paper</t>
  </si>
  <si>
    <t xml:space="preserve">*Conversion of warrants into equity shares during the reporting period</t>
  </si>
  <si>
    <t xml:space="preserve">BL_ConWarrEquity</t>
  </si>
  <si>
    <t xml:space="preserve">*Conversion of warrants into preference shares during the reporting period</t>
  </si>
  <si>
    <t xml:space="preserve">BL_ConWarrpref</t>
  </si>
  <si>
    <t xml:space="preserve">*Conversion of warrants into debentures during the reporting period</t>
  </si>
  <si>
    <t xml:space="preserve">BL_ConWarrdeb</t>
  </si>
  <si>
    <t xml:space="preserve">*Warrants issued during the reporting period (In foreign currency)</t>
  </si>
  <si>
    <t xml:space="preserve">BL_WarrIss_FCur</t>
  </si>
  <si>
    <t xml:space="preserve">*Warrants issued during the reporting period (In Rs. `)</t>
  </si>
  <si>
    <t xml:space="preserve">BL_WarrIss_Frs</t>
  </si>
  <si>
    <t xml:space="preserve">*Default in payment of short term borrowings and interest thereon</t>
  </si>
  <si>
    <t xml:space="preserve">BL_DefltPayShortTermborr</t>
  </si>
  <si>
    <t xml:space="preserve">*Default in payment of long term borrowings and interest thereon</t>
  </si>
  <si>
    <t xml:space="preserve">BL_DefltPayLongTermborr</t>
  </si>
  <si>
    <t xml:space="preserve">*Whether any operating lease has been converted to financial lease or vice-a-versa    Yes (1)  /   No (0) </t>
  </si>
  <si>
    <t xml:space="preserve">BL_Oper_leaseConvfinlease</t>
  </si>
  <si>
    <t xml:space="preserve">Provide details of such conversions</t>
  </si>
  <si>
    <t xml:space="preserve">The quick brown fox jumps right over the lazy dog. The quick brown fox jumps right over the lazy dog.</t>
  </si>
  <si>
    <t xml:space="preserve">BL_leaseConvDet</t>
  </si>
  <si>
    <t xml:space="preserve">Net Worth of the company</t>
  </si>
  <si>
    <t xml:space="preserve">BL_ComNetWorth</t>
  </si>
  <si>
    <t xml:space="preserve">Number of shareholders to whom shares allotted under private placement
during the reporting period</t>
  </si>
  <si>
    <t xml:space="preserve">BL_NoSharePrivate</t>
  </si>
  <si>
    <t xml:space="preserve">*Secured Loan</t>
  </si>
  <si>
    <t xml:space="preserve">BL_Secured_Loan</t>
  </si>
  <si>
    <t xml:space="preserve">*Gross fixed assets (including intangible assets)</t>
  </si>
  <si>
    <t xml:space="preserve">BL_GrossFixedAssets</t>
  </si>
  <si>
    <t xml:space="preserve">*Depreciation and amortization</t>
  </si>
  <si>
    <t xml:space="preserve">BL_DepreAmortiza</t>
  </si>
  <si>
    <t xml:space="preserve">*Miscellaneous expenditure to the extent not written off or adjusted</t>
  </si>
  <si>
    <t xml:space="preserve">BL_MiscExpend</t>
  </si>
  <si>
    <t xml:space="preserve">IV. Share capital raised during the reporting period (Amount in Rs. `)</t>
  </si>
  <si>
    <t xml:space="preserve">Equity shares</t>
  </si>
  <si>
    <t xml:space="preserve">Preference shares</t>
  </si>
  <si>
    <t xml:space="preserve">(a) Public issue</t>
  </si>
  <si>
    <t xml:space="preserve">Eq_PublicIssue</t>
  </si>
  <si>
    <t xml:space="preserve">Pf_PublicIssue</t>
  </si>
  <si>
    <t xml:space="preserve">Tot_PublicIssue</t>
  </si>
  <si>
    <t xml:space="preserve">(b) Bonus issue</t>
  </si>
  <si>
    <t xml:space="preserve">Eq_BonusIssue</t>
  </si>
  <si>
    <t xml:space="preserve">PF_BonusIssue</t>
  </si>
  <si>
    <t xml:space="preserve">Tot_BonusIssue</t>
  </si>
  <si>
    <t xml:space="preserve">(c) Rights issue</t>
  </si>
  <si>
    <t xml:space="preserve">Eq_RightsIssue</t>
  </si>
  <si>
    <t xml:space="preserve">PF_RightsIssue</t>
  </si>
  <si>
    <t xml:space="preserve">Tot_RightsIssue</t>
  </si>
  <si>
    <t xml:space="preserve">(d) Private placement arising out of conversion of
debentures/ preference shares</t>
  </si>
  <si>
    <t xml:space="preserve">Eq_PrivatePlace</t>
  </si>
  <si>
    <t xml:space="preserve">PF_PrivatePlace</t>
  </si>
  <si>
    <t xml:space="preserve">Tot_PrivatePlace</t>
  </si>
  <si>
    <t xml:space="preserve">(e) Other private placement</t>
  </si>
  <si>
    <t xml:space="preserve">Eq_OtherPrivatePlace</t>
  </si>
  <si>
    <t xml:space="preserve">Pf_OtherPrivatePlace</t>
  </si>
  <si>
    <t xml:space="preserve">Tot_OtherPrivatePlace</t>
  </si>
  <si>
    <t xml:space="preserve">(f) Preferential allotment arising out of conversion of
debentures/ preference shares</t>
  </si>
  <si>
    <t xml:space="preserve">Eq_PreferAllot</t>
  </si>
  <si>
    <t xml:space="preserve">PF_PreferAllot</t>
  </si>
  <si>
    <t xml:space="preserve">Tot_PreferAllot</t>
  </si>
  <si>
    <t xml:space="preserve">(g) Other preferential allotment</t>
  </si>
  <si>
    <t xml:space="preserve">Eq_OtherPreferAllot</t>
  </si>
  <si>
    <t xml:space="preserve">Pf_OtherPreferAllot</t>
  </si>
  <si>
    <t xml:space="preserve">Tot_OtherPreferAllot</t>
  </si>
  <si>
    <t xml:space="preserve">(h) Employee Stock Option Plan (ESOP)</t>
  </si>
  <si>
    <t xml:space="preserve">Eq_ESOP</t>
  </si>
  <si>
    <t xml:space="preserve">Pf_ESOP</t>
  </si>
  <si>
    <t xml:space="preserve">Tot_Othr</t>
  </si>
  <si>
    <t xml:space="preserve">(i) Other</t>
  </si>
  <si>
    <t xml:space="preserve">Eq_Othr</t>
  </si>
  <si>
    <t xml:space="preserve">Pf_Othr</t>
  </si>
  <si>
    <t xml:space="preserve">Tot_ESOP</t>
  </si>
  <si>
    <t xml:space="preserve">(j) Total amount of share capital raised during the
reporting period</t>
  </si>
  <si>
    <t xml:space="preserve">Eq_Total</t>
  </si>
  <si>
    <t xml:space="preserve">PF_Total</t>
  </si>
  <si>
    <t xml:space="preserve">Tot_Total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</si>
</sst>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9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  <font>
      <b val="true"/>
      <sz val="11"/>
      <color rgb="FF000000"/>
      <name val="Calibri"/>
      <family val="2"/>
    </font>
    <font>
      <b val="true"/>
      <sz val="10"/>
      <color rgb="FFFF0000"/>
      <name val="Arial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2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3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4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7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5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27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7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3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4" fillId="0" borderId="3" xfId="27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3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7" xfId="27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" xfId="27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7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9" xfId="27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4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4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4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5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5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4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4" borderId="5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3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2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2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4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3" xfId="22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9" xfId="22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22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7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8" xfId="23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29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3" xfId="26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26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6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6" xfId="23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23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2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3" xfId="23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5" xfId="23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5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24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2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3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9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4" borderId="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25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6" xfId="24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  <cellStyle name="Normal 6" xfId="24"/>
    <cellStyle name="Normal 7" xfId="25"/>
    <cellStyle name="Normal 8" xfId="26"/>
    <cellStyle name="Normal_Sheet1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zeroHeight="false" outlineLevelRow="0" outlineLevelCol="0"/>
  <cols>
    <col collapsed="false" customWidth="true" hidden="false" outlineLevel="0" max="2" min="2" style="0" width="46.7"/>
    <col collapsed="false" customWidth="true" hidden="false" outlineLevel="0" max="3" min="3" style="1" width="23.41"/>
    <col collapsed="false" customWidth="true" hidden="true" outlineLevel="0" max="4" min="4" style="0" width="9.14"/>
  </cols>
  <sheetData>
    <row r="1" customFormat="false" ht="15.75" hidden="tru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</row>
    <row r="2" customFormat="false" ht="28.5" hidden="false" customHeight="true" outlineLevel="0" collapsed="false">
      <c r="A2" s="2" t="s">
        <v>4</v>
      </c>
      <c r="B2" s="2"/>
      <c r="C2" s="2"/>
    </row>
    <row r="3" customFormat="false" ht="45.75" hidden="false" customHeight="true" outlineLevel="0" collapsed="false">
      <c r="A3" s="3"/>
      <c r="B3" s="4"/>
      <c r="C3" s="5" t="s">
        <v>5</v>
      </c>
    </row>
    <row r="4" customFormat="false" ht="15" hidden="false" customHeight="false" outlineLevel="0" collapsed="false">
      <c r="A4" s="6"/>
      <c r="B4" s="7"/>
      <c r="C4" s="8"/>
    </row>
    <row r="5" customFormat="false" ht="15" hidden="false" customHeight="false" outlineLevel="0" collapsed="false">
      <c r="A5" s="9" t="s">
        <v>6</v>
      </c>
      <c r="B5" s="10" t="s">
        <v>7</v>
      </c>
      <c r="C5" s="11"/>
    </row>
    <row r="6" customFormat="false" ht="15" hidden="false" customHeight="false" outlineLevel="0" collapsed="false">
      <c r="A6" s="9"/>
      <c r="B6" s="4" t="s">
        <v>8</v>
      </c>
      <c r="C6" s="11"/>
    </row>
    <row r="7" customFormat="false" ht="15" hidden="false" customHeight="false" outlineLevel="0" collapsed="false">
      <c r="A7" s="9"/>
      <c r="B7" s="12" t="s">
        <v>9</v>
      </c>
      <c r="C7" s="13"/>
      <c r="D7" s="0" t="s">
        <v>10</v>
      </c>
    </row>
    <row r="8" customFormat="false" ht="15" hidden="false" customHeight="false" outlineLevel="0" collapsed="false">
      <c r="A8" s="9"/>
      <c r="B8" s="12" t="s">
        <v>11</v>
      </c>
      <c r="C8" s="13"/>
      <c r="D8" s="0" t="s">
        <v>12</v>
      </c>
    </row>
    <row r="9" customFormat="false" ht="15" hidden="false" customHeight="false" outlineLevel="0" collapsed="false">
      <c r="A9" s="9"/>
      <c r="B9" s="12" t="s">
        <v>13</v>
      </c>
      <c r="C9" s="13"/>
      <c r="D9" s="0" t="s">
        <v>14</v>
      </c>
    </row>
    <row r="10" customFormat="false" ht="15" hidden="false" customHeight="false" outlineLevel="0" collapsed="false">
      <c r="A10" s="9"/>
      <c r="B10" s="4" t="s">
        <v>15</v>
      </c>
      <c r="C10" s="11"/>
    </row>
    <row r="11" customFormat="false" ht="15" hidden="false" customHeight="false" outlineLevel="0" collapsed="false">
      <c r="A11" s="9"/>
      <c r="B11" s="12" t="s">
        <v>9</v>
      </c>
      <c r="C11" s="13"/>
      <c r="D11" s="0" t="s">
        <v>16</v>
      </c>
    </row>
    <row r="12" customFormat="false" ht="15" hidden="false" customHeight="false" outlineLevel="0" collapsed="false">
      <c r="A12" s="9"/>
      <c r="B12" s="12" t="s">
        <v>11</v>
      </c>
      <c r="C12" s="13"/>
      <c r="D12" s="0" t="s">
        <v>17</v>
      </c>
    </row>
    <row r="13" customFormat="false" ht="15" hidden="false" customHeight="false" outlineLevel="0" collapsed="false">
      <c r="A13" s="9"/>
      <c r="B13" s="12" t="s">
        <v>13</v>
      </c>
      <c r="C13" s="13"/>
      <c r="D13" s="0" t="s">
        <v>18</v>
      </c>
    </row>
    <row r="14" customFormat="false" ht="18.75" hidden="false" customHeight="true" outlineLevel="0" collapsed="false">
      <c r="A14" s="9" t="s">
        <v>19</v>
      </c>
      <c r="B14" s="14" t="s">
        <v>20</v>
      </c>
      <c r="C14" s="13"/>
      <c r="D14" s="0" t="s">
        <v>21</v>
      </c>
    </row>
    <row r="15" customFormat="false" ht="15" hidden="false" customHeight="false" outlineLevel="0" collapsed="false">
      <c r="A15" s="9" t="s">
        <v>22</v>
      </c>
      <c r="B15" s="10" t="s">
        <v>23</v>
      </c>
      <c r="C15" s="11" t="n">
        <f aca="false">SUM(C7:C9,C11:C14)</f>
        <v>0</v>
      </c>
      <c r="D15" s="0" t="s">
        <v>24</v>
      </c>
    </row>
    <row r="16" customFormat="false" ht="15" hidden="false" customHeight="false" outlineLevel="0" collapsed="false">
      <c r="A16" s="9" t="s">
        <v>25</v>
      </c>
      <c r="B16" s="10" t="s">
        <v>26</v>
      </c>
      <c r="C16" s="11"/>
    </row>
    <row r="17" customFormat="false" ht="15" hidden="false" customHeight="false" outlineLevel="0" collapsed="false">
      <c r="A17" s="9"/>
      <c r="B17" s="12" t="s">
        <v>27</v>
      </c>
      <c r="C17" s="13"/>
      <c r="D17" s="0" t="s">
        <v>28</v>
      </c>
    </row>
    <row r="18" customFormat="false" ht="15" hidden="false" customHeight="false" outlineLevel="0" collapsed="false">
      <c r="A18" s="9"/>
      <c r="B18" s="12" t="s">
        <v>29</v>
      </c>
      <c r="C18" s="13"/>
      <c r="D18" s="0" t="s">
        <v>30</v>
      </c>
    </row>
    <row r="19" customFormat="false" ht="15" hidden="false" customHeight="false" outlineLevel="0" collapsed="false">
      <c r="A19" s="9"/>
      <c r="B19" s="15" t="s">
        <v>31</v>
      </c>
      <c r="C19" s="13"/>
      <c r="D19" s="0" t="s">
        <v>32</v>
      </c>
    </row>
    <row r="20" customFormat="false" ht="15" hidden="false" customHeight="false" outlineLevel="0" collapsed="false">
      <c r="A20" s="9"/>
      <c r="B20" s="15" t="s">
        <v>33</v>
      </c>
      <c r="C20" s="13"/>
      <c r="D20" s="0" t="s">
        <v>34</v>
      </c>
      <c r="E20" s="16"/>
    </row>
    <row r="21" customFormat="false" ht="15" hidden="false" customHeight="false" outlineLevel="0" collapsed="false">
      <c r="A21" s="9"/>
      <c r="B21" s="15" t="s">
        <v>35</v>
      </c>
      <c r="C21" s="13"/>
      <c r="D21" s="0" t="s">
        <v>36</v>
      </c>
    </row>
    <row r="22" customFormat="false" ht="15" hidden="false" customHeight="false" outlineLevel="0" collapsed="false">
      <c r="A22" s="9"/>
      <c r="B22" s="12" t="s">
        <v>37</v>
      </c>
      <c r="C22" s="13"/>
      <c r="D22" s="0" t="s">
        <v>38</v>
      </c>
    </row>
    <row r="23" customFormat="false" ht="15" hidden="false" customHeight="false" outlineLevel="0" collapsed="false">
      <c r="A23" s="9"/>
      <c r="B23" s="12" t="s">
        <v>39</v>
      </c>
      <c r="C23" s="13"/>
      <c r="D23" s="0" t="s">
        <v>40</v>
      </c>
    </row>
    <row r="24" customFormat="false" ht="15" hidden="false" customHeight="false" outlineLevel="0" collapsed="false">
      <c r="A24" s="9"/>
      <c r="B24" s="12" t="s">
        <v>41</v>
      </c>
      <c r="C24" s="13"/>
      <c r="D24" s="0" t="s">
        <v>42</v>
      </c>
    </row>
    <row r="25" customFormat="false" ht="15" hidden="false" customHeight="false" outlineLevel="0" collapsed="false">
      <c r="A25" s="9"/>
      <c r="B25" s="12" t="s">
        <v>43</v>
      </c>
      <c r="C25" s="13"/>
      <c r="D25" s="0" t="s">
        <v>44</v>
      </c>
    </row>
    <row r="26" customFormat="false" ht="15" hidden="false" customHeight="false" outlineLevel="0" collapsed="false">
      <c r="A26" s="9"/>
      <c r="B26" s="12" t="s">
        <v>45</v>
      </c>
      <c r="C26" s="13"/>
      <c r="D26" s="0" t="s">
        <v>46</v>
      </c>
    </row>
    <row r="27" customFormat="false" ht="15" hidden="false" customHeight="false" outlineLevel="0" collapsed="false">
      <c r="A27" s="9"/>
      <c r="B27" s="12" t="s">
        <v>47</v>
      </c>
      <c r="C27" s="13"/>
      <c r="D27" s="0" t="s">
        <v>48</v>
      </c>
    </row>
    <row r="28" customFormat="false" ht="15" hidden="false" customHeight="false" outlineLevel="0" collapsed="false">
      <c r="A28" s="9"/>
      <c r="B28" s="12" t="s">
        <v>49</v>
      </c>
      <c r="C28" s="13"/>
      <c r="D28" s="0" t="s">
        <v>50</v>
      </c>
    </row>
    <row r="29" customFormat="false" ht="15" hidden="false" customHeight="false" outlineLevel="0" collapsed="false">
      <c r="A29" s="9"/>
      <c r="B29" s="12" t="s">
        <v>51</v>
      </c>
      <c r="C29" s="13"/>
      <c r="D29" s="0" t="s">
        <v>52</v>
      </c>
    </row>
    <row r="30" customFormat="false" ht="15" hidden="false" customHeight="false" outlineLevel="0" collapsed="false">
      <c r="A30" s="9"/>
      <c r="B30" s="10" t="s">
        <v>53</v>
      </c>
      <c r="C30" s="11" t="n">
        <f aca="false">SUM(C17:C29)</f>
        <v>0</v>
      </c>
      <c r="D30" s="0" t="s">
        <v>54</v>
      </c>
    </row>
    <row r="31" customFormat="false" ht="26.25" hidden="false" customHeight="false" outlineLevel="0" collapsed="false">
      <c r="A31" s="9" t="s">
        <v>55</v>
      </c>
      <c r="B31" s="14" t="s">
        <v>56</v>
      </c>
      <c r="C31" s="17" t="n">
        <f aca="false">SUM(C15-C30)</f>
        <v>0</v>
      </c>
      <c r="D31" s="0" t="s">
        <v>57</v>
      </c>
    </row>
    <row r="32" customFormat="false" ht="15" hidden="false" customHeight="false" outlineLevel="0" collapsed="false">
      <c r="A32" s="9" t="s">
        <v>58</v>
      </c>
      <c r="B32" s="18" t="s">
        <v>59</v>
      </c>
      <c r="C32" s="13"/>
      <c r="D32" s="0" t="s">
        <v>60</v>
      </c>
    </row>
    <row r="33" customFormat="false" ht="26.25" hidden="false" customHeight="false" outlineLevel="0" collapsed="false">
      <c r="A33" s="9" t="s">
        <v>61</v>
      </c>
      <c r="B33" s="14" t="s">
        <v>62</v>
      </c>
      <c r="C33" s="17" t="n">
        <f aca="false">SUM(C31-C32)</f>
        <v>0</v>
      </c>
      <c r="D33" s="0" t="s">
        <v>63</v>
      </c>
    </row>
    <row r="34" customFormat="false" ht="15" hidden="false" customHeight="false" outlineLevel="0" collapsed="false">
      <c r="A34" s="9" t="s">
        <v>64</v>
      </c>
      <c r="B34" s="18" t="s">
        <v>65</v>
      </c>
      <c r="C34" s="13"/>
      <c r="D34" s="0" t="s">
        <v>66</v>
      </c>
    </row>
    <row r="35" customFormat="false" ht="15" hidden="false" customHeight="false" outlineLevel="0" collapsed="false">
      <c r="A35" s="9" t="s">
        <v>67</v>
      </c>
      <c r="B35" s="18" t="s">
        <v>68</v>
      </c>
      <c r="C35" s="17" t="n">
        <f aca="false">SUM(C33-C34)</f>
        <v>0</v>
      </c>
      <c r="D35" s="0" t="s">
        <v>69</v>
      </c>
    </row>
    <row r="36" customFormat="false" ht="15" hidden="false" customHeight="false" outlineLevel="0" collapsed="false">
      <c r="A36" s="9" t="s">
        <v>70</v>
      </c>
      <c r="B36" s="10" t="s">
        <v>71</v>
      </c>
      <c r="C36" s="11"/>
    </row>
    <row r="37" customFormat="false" ht="15" hidden="false" customHeight="false" outlineLevel="0" collapsed="false">
      <c r="A37" s="9"/>
      <c r="B37" s="12" t="s">
        <v>72</v>
      </c>
      <c r="C37" s="13"/>
      <c r="D37" s="0" t="s">
        <v>73</v>
      </c>
    </row>
    <row r="38" customFormat="false" ht="15" hidden="false" customHeight="false" outlineLevel="0" collapsed="false">
      <c r="A38" s="9"/>
      <c r="B38" s="12" t="s">
        <v>74</v>
      </c>
      <c r="C38" s="13"/>
      <c r="D38" s="0" t="s">
        <v>75</v>
      </c>
    </row>
    <row r="39" customFormat="false" ht="26.25" hidden="false" customHeight="false" outlineLevel="0" collapsed="false">
      <c r="A39" s="9" t="s">
        <v>76</v>
      </c>
      <c r="B39" s="14" t="s">
        <v>77</v>
      </c>
      <c r="C39" s="17" t="n">
        <f aca="false">SUM(C35-(C37+C38))</f>
        <v>0</v>
      </c>
      <c r="D39" s="0" t="s">
        <v>78</v>
      </c>
    </row>
    <row r="40" customFormat="false" ht="26.25" hidden="false" customHeight="false" outlineLevel="0" collapsed="false">
      <c r="A40" s="9" t="s">
        <v>79</v>
      </c>
      <c r="B40" s="14" t="s">
        <v>80</v>
      </c>
      <c r="C40" s="13"/>
      <c r="D40" s="0" t="s">
        <v>81</v>
      </c>
    </row>
    <row r="41" customFormat="false" ht="15" hidden="false" customHeight="false" outlineLevel="0" collapsed="false">
      <c r="A41" s="9" t="s">
        <v>82</v>
      </c>
      <c r="B41" s="18" t="s">
        <v>83</v>
      </c>
      <c r="C41" s="13"/>
      <c r="D41" s="0" t="s">
        <v>84</v>
      </c>
    </row>
    <row r="42" customFormat="false" ht="26.25" hidden="false" customHeight="false" outlineLevel="0" collapsed="false">
      <c r="A42" s="9" t="s">
        <v>85</v>
      </c>
      <c r="B42" s="14" t="s">
        <v>86</v>
      </c>
      <c r="C42" s="17" t="n">
        <f aca="false">SUM(C40-C41)</f>
        <v>0</v>
      </c>
      <c r="D42" s="0" t="s">
        <v>87</v>
      </c>
    </row>
    <row r="43" customFormat="false" ht="15" hidden="false" customHeight="false" outlineLevel="0" collapsed="false">
      <c r="A43" s="9" t="s">
        <v>88</v>
      </c>
      <c r="B43" s="14" t="s">
        <v>89</v>
      </c>
      <c r="C43" s="17" t="n">
        <f aca="false">SUM(C42,C39)</f>
        <v>0</v>
      </c>
      <c r="D43" s="0" t="s">
        <v>90</v>
      </c>
    </row>
    <row r="44" customFormat="false" ht="26.25" hidden="false" customHeight="false" outlineLevel="0" collapsed="false">
      <c r="A44" s="9" t="s">
        <v>91</v>
      </c>
      <c r="B44" s="19" t="s">
        <v>92</v>
      </c>
      <c r="C44" s="11"/>
    </row>
    <row r="45" customFormat="false" ht="15" hidden="false" customHeight="false" outlineLevel="0" collapsed="false">
      <c r="A45" s="9"/>
      <c r="B45" s="15" t="s">
        <v>93</v>
      </c>
      <c r="C45" s="13"/>
      <c r="D45" s="0" t="s">
        <v>94</v>
      </c>
    </row>
    <row r="46" customFormat="false" ht="15" hidden="false" customHeight="false" outlineLevel="0" collapsed="false">
      <c r="A46" s="12"/>
      <c r="B46" s="15" t="s">
        <v>95</v>
      </c>
      <c r="C46" s="13"/>
      <c r="D46" s="0" t="s">
        <v>96</v>
      </c>
    </row>
    <row r="47" customFormat="false" ht="26.25" hidden="false" customHeight="false" outlineLevel="0" collapsed="false">
      <c r="A47" s="9" t="s">
        <v>97</v>
      </c>
      <c r="B47" s="19" t="s">
        <v>98</v>
      </c>
      <c r="C47" s="11"/>
    </row>
    <row r="48" customFormat="false" ht="15" hidden="false" customHeight="false" outlineLevel="0" collapsed="false">
      <c r="A48" s="9"/>
      <c r="B48" s="15" t="s">
        <v>93</v>
      </c>
      <c r="C48" s="13"/>
      <c r="D48" s="0" t="s">
        <v>99</v>
      </c>
    </row>
    <row r="49" customFormat="false" ht="15" hidden="false" customHeight="false" outlineLevel="0" collapsed="false">
      <c r="A49" s="20"/>
      <c r="B49" s="21" t="s">
        <v>95</v>
      </c>
      <c r="C49" s="22"/>
      <c r="D49" s="0" t="s">
        <v>100</v>
      </c>
    </row>
    <row r="50" customFormat="false" ht="15" hidden="false" customHeight="false" outlineLevel="0" collapsed="false">
      <c r="A50" s="23" t="s">
        <v>101</v>
      </c>
      <c r="B50" s="24" t="s">
        <v>102</v>
      </c>
      <c r="C50" s="25"/>
    </row>
    <row r="51" customFormat="false" ht="15" hidden="false" customHeight="false" outlineLevel="0" collapsed="false">
      <c r="A51" s="23" t="s">
        <v>103</v>
      </c>
      <c r="B51" s="26" t="s">
        <v>104</v>
      </c>
      <c r="C51" s="25"/>
    </row>
    <row r="52" customFormat="false" ht="15" hidden="false" customHeight="false" outlineLevel="0" collapsed="false">
      <c r="A52" s="23"/>
      <c r="B52" s="24" t="s">
        <v>105</v>
      </c>
      <c r="C52" s="27"/>
    </row>
    <row r="53" customFormat="false" ht="15" hidden="false" customHeight="false" outlineLevel="0" collapsed="false">
      <c r="A53" s="23"/>
      <c r="B53" s="28" t="s">
        <v>106</v>
      </c>
      <c r="C53" s="29"/>
      <c r="D53" s="0" t="s">
        <v>107</v>
      </c>
    </row>
    <row r="54" customFormat="false" ht="15" hidden="false" customHeight="false" outlineLevel="0" collapsed="false">
      <c r="A54" s="23"/>
      <c r="B54" s="28" t="s">
        <v>108</v>
      </c>
      <c r="C54" s="29"/>
      <c r="D54" s="0" t="s">
        <v>109</v>
      </c>
    </row>
    <row r="55" customFormat="false" ht="15" hidden="false" customHeight="false" outlineLevel="0" collapsed="false">
      <c r="A55" s="23"/>
      <c r="B55" s="28" t="s">
        <v>110</v>
      </c>
      <c r="C55" s="29"/>
      <c r="D55" s="0" t="s">
        <v>111</v>
      </c>
    </row>
    <row r="56" customFormat="false" ht="15" hidden="false" customHeight="false" outlineLevel="0" collapsed="false">
      <c r="A56" s="23"/>
      <c r="B56" s="28" t="s">
        <v>112</v>
      </c>
      <c r="C56" s="29"/>
      <c r="D56" s="0" t="s">
        <v>113</v>
      </c>
    </row>
    <row r="57" customFormat="false" ht="15" hidden="false" customHeight="false" outlineLevel="0" collapsed="false">
      <c r="A57" s="23"/>
      <c r="B57" s="28" t="s">
        <v>114</v>
      </c>
      <c r="C57" s="29"/>
      <c r="D57" s="0" t="s">
        <v>115</v>
      </c>
    </row>
    <row r="58" customFormat="false" ht="15" hidden="false" customHeight="false" outlineLevel="0" collapsed="false">
      <c r="A58" s="23"/>
      <c r="B58" s="28" t="s">
        <v>116</v>
      </c>
      <c r="C58" s="29"/>
      <c r="D58" s="0" t="s">
        <v>117</v>
      </c>
    </row>
    <row r="59" customFormat="false" ht="15" hidden="false" customHeight="false" outlineLevel="0" collapsed="false">
      <c r="A59" s="23"/>
      <c r="B59" s="28" t="s">
        <v>118</v>
      </c>
      <c r="C59" s="30"/>
      <c r="D59" s="0" t="s">
        <v>119</v>
      </c>
    </row>
    <row r="60" customFormat="false" ht="15" hidden="false" customHeight="false" outlineLevel="0" collapsed="false">
      <c r="A60" s="23" t="s">
        <v>120</v>
      </c>
      <c r="B60" s="26" t="s">
        <v>121</v>
      </c>
      <c r="C60" s="27"/>
    </row>
    <row r="61" customFormat="false" ht="15" hidden="false" customHeight="false" outlineLevel="0" collapsed="false">
      <c r="A61" s="23"/>
      <c r="B61" s="24" t="s">
        <v>105</v>
      </c>
      <c r="C61" s="27"/>
    </row>
    <row r="62" customFormat="false" ht="15" hidden="false" customHeight="false" outlineLevel="0" collapsed="false">
      <c r="A62" s="23"/>
      <c r="B62" s="31" t="s">
        <v>122</v>
      </c>
      <c r="C62" s="30"/>
      <c r="D62" s="0" t="s">
        <v>123</v>
      </c>
    </row>
    <row r="63" customFormat="false" ht="15" hidden="false" customHeight="false" outlineLevel="0" collapsed="false">
      <c r="A63" s="23"/>
      <c r="B63" s="28" t="s">
        <v>124</v>
      </c>
      <c r="C63" s="29"/>
      <c r="D63" s="0" t="s">
        <v>125</v>
      </c>
    </row>
    <row r="64" customFormat="false" ht="15" hidden="false" customHeight="false" outlineLevel="0" collapsed="false">
      <c r="A64" s="28"/>
      <c r="B64" s="28" t="s">
        <v>126</v>
      </c>
      <c r="C64" s="29"/>
      <c r="D64" s="0" t="s">
        <v>127</v>
      </c>
    </row>
    <row r="65" customFormat="false" ht="15" hidden="false" customHeight="false" outlineLevel="0" collapsed="false">
      <c r="A65" s="28"/>
      <c r="B65" s="28" t="s">
        <v>128</v>
      </c>
      <c r="C65" s="29"/>
      <c r="D65" s="0" t="s">
        <v>129</v>
      </c>
    </row>
    <row r="66" customFormat="false" ht="15" hidden="false" customHeight="false" outlineLevel="0" collapsed="false">
      <c r="A66" s="28"/>
      <c r="B66" s="24" t="s">
        <v>130</v>
      </c>
      <c r="C66" s="27"/>
    </row>
    <row r="67" customFormat="false" ht="15" hidden="false" customHeight="false" outlineLevel="0" collapsed="false">
      <c r="A67" s="28"/>
      <c r="B67" s="28" t="s">
        <v>110</v>
      </c>
      <c r="C67" s="29"/>
      <c r="D67" s="0" t="s">
        <v>131</v>
      </c>
    </row>
    <row r="68" customFormat="false" ht="15" hidden="false" customHeight="false" outlineLevel="0" collapsed="false">
      <c r="A68" s="28"/>
      <c r="B68" s="28" t="s">
        <v>112</v>
      </c>
      <c r="C68" s="29"/>
      <c r="D68" s="0" t="s">
        <v>132</v>
      </c>
    </row>
    <row r="69" customFormat="false" ht="15" hidden="false" customHeight="false" outlineLevel="0" collapsed="false">
      <c r="A69" s="28"/>
      <c r="B69" s="28" t="s">
        <v>114</v>
      </c>
      <c r="C69" s="29"/>
      <c r="D69" s="0" t="s">
        <v>133</v>
      </c>
    </row>
    <row r="70" customFormat="false" ht="15" hidden="false" customHeight="false" outlineLevel="0" collapsed="false">
      <c r="A70" s="28"/>
      <c r="B70" s="28" t="s">
        <v>134</v>
      </c>
      <c r="C70" s="29"/>
      <c r="D70" s="0" t="s">
        <v>135</v>
      </c>
    </row>
    <row r="71" customFormat="false" ht="15" hidden="false" customHeight="false" outlineLevel="0" collapsed="false">
      <c r="A71" s="28"/>
      <c r="B71" s="28" t="s">
        <v>136</v>
      </c>
      <c r="C71" s="29"/>
      <c r="D71" s="0" t="s">
        <v>137</v>
      </c>
    </row>
    <row r="72" customFormat="false" ht="15" hidden="false" customHeight="false" outlineLevel="0" collapsed="false">
      <c r="A72" s="28"/>
      <c r="B72" s="28" t="s">
        <v>138</v>
      </c>
      <c r="C72" s="29"/>
      <c r="D72" s="0" t="s">
        <v>139</v>
      </c>
    </row>
    <row r="73" customFormat="false" ht="15" hidden="false" customHeight="false" outlineLevel="0" collapsed="false">
      <c r="A73" s="28"/>
      <c r="B73" s="28" t="s">
        <v>140</v>
      </c>
      <c r="C73" s="30"/>
      <c r="D73" s="0" t="s">
        <v>141</v>
      </c>
    </row>
  </sheetData>
  <sheetProtection sheet="true" password="f99e"/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69" activeCellId="0" sqref="C69"/>
    </sheetView>
  </sheetViews>
  <sheetFormatPr defaultColWidth="9.13671875" defaultRowHeight="15" zeroHeight="false" outlineLevelRow="0" outlineLevelCol="0"/>
  <cols>
    <col collapsed="false" customWidth="true" hidden="false" outlineLevel="0" max="2" min="2" style="0" width="46.14"/>
    <col collapsed="false" customWidth="true" hidden="false" outlineLevel="0" max="3" min="3" style="1" width="24.28"/>
    <col collapsed="false" customWidth="false" hidden="true" outlineLevel="0" max="4" min="4" style="0" width="9.14"/>
  </cols>
  <sheetData>
    <row r="1" customFormat="false" ht="15.75" hidden="tru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</row>
    <row r="2" customFormat="false" ht="29.25" hidden="false" customHeight="true" outlineLevel="0" collapsed="false">
      <c r="A2" s="2" t="s">
        <v>4</v>
      </c>
      <c r="B2" s="2"/>
      <c r="C2" s="2"/>
    </row>
    <row r="3" customFormat="false" ht="39" hidden="false" customHeight="false" outlineLevel="0" collapsed="false">
      <c r="A3" s="3"/>
      <c r="B3" s="4"/>
      <c r="C3" s="5" t="s">
        <v>142</v>
      </c>
    </row>
    <row r="4" customFormat="false" ht="15" hidden="false" customHeight="false" outlineLevel="0" collapsed="false">
      <c r="A4" s="6"/>
      <c r="B4" s="7"/>
      <c r="C4" s="8"/>
    </row>
    <row r="5" customFormat="false" ht="15" hidden="false" customHeight="false" outlineLevel="0" collapsed="false">
      <c r="A5" s="9" t="s">
        <v>6</v>
      </c>
      <c r="B5" s="10" t="s">
        <v>7</v>
      </c>
      <c r="C5" s="11"/>
    </row>
    <row r="6" customFormat="false" ht="15" hidden="false" customHeight="false" outlineLevel="0" collapsed="false">
      <c r="A6" s="9"/>
      <c r="B6" s="4" t="s">
        <v>8</v>
      </c>
      <c r="C6" s="11"/>
    </row>
    <row r="7" customFormat="false" ht="15" hidden="false" customHeight="false" outlineLevel="0" collapsed="false">
      <c r="A7" s="9"/>
      <c r="B7" s="12" t="s">
        <v>9</v>
      </c>
      <c r="C7" s="13"/>
      <c r="D7" s="0" t="s">
        <v>10</v>
      </c>
    </row>
    <row r="8" customFormat="false" ht="15" hidden="false" customHeight="false" outlineLevel="0" collapsed="false">
      <c r="A8" s="9"/>
      <c r="B8" s="12" t="s">
        <v>11</v>
      </c>
      <c r="C8" s="13"/>
      <c r="D8" s="0" t="s">
        <v>12</v>
      </c>
    </row>
    <row r="9" customFormat="false" ht="15" hidden="false" customHeight="false" outlineLevel="0" collapsed="false">
      <c r="A9" s="9"/>
      <c r="B9" s="12" t="s">
        <v>13</v>
      </c>
      <c r="C9" s="13"/>
      <c r="D9" s="0" t="s">
        <v>14</v>
      </c>
    </row>
    <row r="10" customFormat="false" ht="15" hidden="false" customHeight="false" outlineLevel="0" collapsed="false">
      <c r="A10" s="9"/>
      <c r="B10" s="4" t="s">
        <v>15</v>
      </c>
      <c r="C10" s="11"/>
    </row>
    <row r="11" customFormat="false" ht="15" hidden="false" customHeight="false" outlineLevel="0" collapsed="false">
      <c r="A11" s="9"/>
      <c r="B11" s="12" t="s">
        <v>9</v>
      </c>
      <c r="C11" s="13"/>
      <c r="D11" s="0" t="s">
        <v>16</v>
      </c>
    </row>
    <row r="12" customFormat="false" ht="15" hidden="false" customHeight="false" outlineLevel="0" collapsed="false">
      <c r="A12" s="9"/>
      <c r="B12" s="12" t="s">
        <v>11</v>
      </c>
      <c r="C12" s="13"/>
      <c r="D12" s="0" t="s">
        <v>17</v>
      </c>
    </row>
    <row r="13" customFormat="false" ht="15" hidden="false" customHeight="false" outlineLevel="0" collapsed="false">
      <c r="A13" s="9"/>
      <c r="B13" s="12" t="s">
        <v>13</v>
      </c>
      <c r="C13" s="13"/>
      <c r="D13" s="0" t="s">
        <v>18</v>
      </c>
    </row>
    <row r="14" customFormat="false" ht="15" hidden="false" customHeight="false" outlineLevel="0" collapsed="false">
      <c r="A14" s="9" t="s">
        <v>19</v>
      </c>
      <c r="B14" s="14" t="s">
        <v>20</v>
      </c>
      <c r="C14" s="13"/>
      <c r="D14" s="0" t="s">
        <v>21</v>
      </c>
    </row>
    <row r="15" customFormat="false" ht="15" hidden="false" customHeight="false" outlineLevel="0" collapsed="false">
      <c r="A15" s="9" t="s">
        <v>22</v>
      </c>
      <c r="B15" s="10" t="s">
        <v>23</v>
      </c>
      <c r="C15" s="11" t="n">
        <f aca="false">SUM(C7:C9,C11:C14)</f>
        <v>0</v>
      </c>
      <c r="D15" s="0" t="s">
        <v>24</v>
      </c>
    </row>
    <row r="16" customFormat="false" ht="15" hidden="false" customHeight="false" outlineLevel="0" collapsed="false">
      <c r="A16" s="9" t="s">
        <v>25</v>
      </c>
      <c r="B16" s="10" t="s">
        <v>26</v>
      </c>
      <c r="C16" s="11"/>
    </row>
    <row r="17" customFormat="false" ht="15" hidden="false" customHeight="false" outlineLevel="0" collapsed="false">
      <c r="A17" s="9"/>
      <c r="B17" s="12" t="s">
        <v>27</v>
      </c>
      <c r="C17" s="13"/>
      <c r="D17" s="0" t="s">
        <v>28</v>
      </c>
    </row>
    <row r="18" customFormat="false" ht="15" hidden="false" customHeight="false" outlineLevel="0" collapsed="false">
      <c r="A18" s="9"/>
      <c r="B18" s="12" t="s">
        <v>29</v>
      </c>
      <c r="C18" s="13"/>
      <c r="D18" s="0" t="s">
        <v>30</v>
      </c>
    </row>
    <row r="19" customFormat="false" ht="15" hidden="false" customHeight="false" outlineLevel="0" collapsed="false">
      <c r="A19" s="9"/>
      <c r="B19" s="15" t="s">
        <v>31</v>
      </c>
      <c r="C19" s="13"/>
      <c r="D19" s="0" t="s">
        <v>32</v>
      </c>
    </row>
    <row r="20" customFormat="false" ht="15" hidden="false" customHeight="false" outlineLevel="0" collapsed="false">
      <c r="A20" s="9"/>
      <c r="B20" s="15" t="s">
        <v>33</v>
      </c>
      <c r="C20" s="13"/>
      <c r="D20" s="0" t="s">
        <v>143</v>
      </c>
    </row>
    <row r="21" customFormat="false" ht="15" hidden="false" customHeight="false" outlineLevel="0" collapsed="false">
      <c r="A21" s="9"/>
      <c r="B21" s="15" t="s">
        <v>35</v>
      </c>
      <c r="C21" s="13"/>
      <c r="D21" s="0" t="s">
        <v>144</v>
      </c>
    </row>
    <row r="22" customFormat="false" ht="15" hidden="false" customHeight="false" outlineLevel="0" collapsed="false">
      <c r="A22" s="9"/>
      <c r="B22" s="12" t="s">
        <v>37</v>
      </c>
      <c r="C22" s="13"/>
      <c r="D22" s="0" t="s">
        <v>38</v>
      </c>
    </row>
    <row r="23" customFormat="false" ht="15" hidden="false" customHeight="false" outlineLevel="0" collapsed="false">
      <c r="A23" s="9"/>
      <c r="B23" s="12" t="s">
        <v>39</v>
      </c>
      <c r="C23" s="13"/>
      <c r="D23" s="0" t="s">
        <v>40</v>
      </c>
    </row>
    <row r="24" customFormat="false" ht="15" hidden="false" customHeight="false" outlineLevel="0" collapsed="false">
      <c r="A24" s="9"/>
      <c r="B24" s="12" t="s">
        <v>41</v>
      </c>
      <c r="C24" s="13"/>
      <c r="D24" s="0" t="s">
        <v>42</v>
      </c>
    </row>
    <row r="25" customFormat="false" ht="15" hidden="false" customHeight="false" outlineLevel="0" collapsed="false">
      <c r="A25" s="9"/>
      <c r="B25" s="12" t="s">
        <v>43</v>
      </c>
      <c r="C25" s="13"/>
      <c r="D25" s="0" t="s">
        <v>44</v>
      </c>
    </row>
    <row r="26" customFormat="false" ht="15" hidden="false" customHeight="false" outlineLevel="0" collapsed="false">
      <c r="A26" s="9"/>
      <c r="B26" s="12" t="s">
        <v>45</v>
      </c>
      <c r="C26" s="13"/>
      <c r="D26" s="0" t="s">
        <v>46</v>
      </c>
    </row>
    <row r="27" customFormat="false" ht="15" hidden="false" customHeight="false" outlineLevel="0" collapsed="false">
      <c r="A27" s="9"/>
      <c r="B27" s="12" t="s">
        <v>47</v>
      </c>
      <c r="C27" s="13"/>
      <c r="D27" s="0" t="s">
        <v>48</v>
      </c>
    </row>
    <row r="28" customFormat="false" ht="15" hidden="false" customHeight="false" outlineLevel="0" collapsed="false">
      <c r="A28" s="9"/>
      <c r="B28" s="12" t="s">
        <v>49</v>
      </c>
      <c r="C28" s="13"/>
      <c r="D28" s="0" t="s">
        <v>50</v>
      </c>
    </row>
    <row r="29" customFormat="false" ht="15" hidden="false" customHeight="false" outlineLevel="0" collapsed="false">
      <c r="A29" s="9"/>
      <c r="B29" s="12" t="s">
        <v>51</v>
      </c>
      <c r="C29" s="13"/>
      <c r="D29" s="0" t="s">
        <v>52</v>
      </c>
    </row>
    <row r="30" customFormat="false" ht="15" hidden="false" customHeight="false" outlineLevel="0" collapsed="false">
      <c r="A30" s="9"/>
      <c r="B30" s="10" t="s">
        <v>53</v>
      </c>
      <c r="C30" s="11" t="n">
        <f aca="false">SUM(C17:C29)</f>
        <v>0</v>
      </c>
      <c r="D30" s="0" t="s">
        <v>54</v>
      </c>
    </row>
    <row r="31" customFormat="false" ht="26.25" hidden="false" customHeight="false" outlineLevel="0" collapsed="false">
      <c r="A31" s="9" t="s">
        <v>55</v>
      </c>
      <c r="B31" s="14" t="s">
        <v>56</v>
      </c>
      <c r="C31" s="17" t="n">
        <f aca="false">SUM(C15-C30)</f>
        <v>0</v>
      </c>
      <c r="D31" s="0" t="s">
        <v>57</v>
      </c>
    </row>
    <row r="32" customFormat="false" ht="15" hidden="false" customHeight="false" outlineLevel="0" collapsed="false">
      <c r="A32" s="9" t="s">
        <v>58</v>
      </c>
      <c r="B32" s="18" t="s">
        <v>59</v>
      </c>
      <c r="C32" s="13"/>
      <c r="D32" s="0" t="s">
        <v>60</v>
      </c>
    </row>
    <row r="33" customFormat="false" ht="26.25" hidden="false" customHeight="false" outlineLevel="0" collapsed="false">
      <c r="A33" s="9" t="s">
        <v>61</v>
      </c>
      <c r="B33" s="14" t="s">
        <v>62</v>
      </c>
      <c r="C33" s="17" t="n">
        <f aca="false">SUM(C31-C32)</f>
        <v>0</v>
      </c>
      <c r="D33" s="0" t="s">
        <v>63</v>
      </c>
    </row>
    <row r="34" customFormat="false" ht="15" hidden="false" customHeight="false" outlineLevel="0" collapsed="false">
      <c r="A34" s="9" t="s">
        <v>64</v>
      </c>
      <c r="B34" s="18" t="s">
        <v>65</v>
      </c>
      <c r="C34" s="13"/>
      <c r="D34" s="0" t="s">
        <v>66</v>
      </c>
    </row>
    <row r="35" customFormat="false" ht="15" hidden="false" customHeight="false" outlineLevel="0" collapsed="false">
      <c r="A35" s="9" t="s">
        <v>67</v>
      </c>
      <c r="B35" s="18" t="s">
        <v>68</v>
      </c>
      <c r="C35" s="17" t="n">
        <f aca="false">SUM(C33-C34)</f>
        <v>0</v>
      </c>
      <c r="D35" s="0" t="s">
        <v>69</v>
      </c>
    </row>
    <row r="36" customFormat="false" ht="15" hidden="false" customHeight="false" outlineLevel="0" collapsed="false">
      <c r="A36" s="9" t="s">
        <v>70</v>
      </c>
      <c r="B36" s="10" t="s">
        <v>71</v>
      </c>
      <c r="C36" s="11"/>
    </row>
    <row r="37" customFormat="false" ht="15" hidden="false" customHeight="false" outlineLevel="0" collapsed="false">
      <c r="A37" s="9"/>
      <c r="B37" s="12" t="s">
        <v>72</v>
      </c>
      <c r="C37" s="13"/>
      <c r="D37" s="0" t="s">
        <v>73</v>
      </c>
    </row>
    <row r="38" customFormat="false" ht="15" hidden="false" customHeight="false" outlineLevel="0" collapsed="false">
      <c r="A38" s="9"/>
      <c r="B38" s="12" t="s">
        <v>74</v>
      </c>
      <c r="C38" s="13"/>
      <c r="D38" s="0" t="s">
        <v>75</v>
      </c>
    </row>
    <row r="39" customFormat="false" ht="26.25" hidden="false" customHeight="false" outlineLevel="0" collapsed="false">
      <c r="A39" s="9" t="s">
        <v>76</v>
      </c>
      <c r="B39" s="14" t="s">
        <v>77</v>
      </c>
      <c r="C39" s="17" t="n">
        <f aca="false">SUM(C35-(C37+C38))</f>
        <v>0</v>
      </c>
      <c r="D39" s="0" t="s">
        <v>78</v>
      </c>
    </row>
    <row r="40" customFormat="false" ht="26.25" hidden="false" customHeight="false" outlineLevel="0" collapsed="false">
      <c r="A40" s="9" t="s">
        <v>79</v>
      </c>
      <c r="B40" s="14" t="s">
        <v>80</v>
      </c>
      <c r="C40" s="13"/>
      <c r="D40" s="0" t="s">
        <v>81</v>
      </c>
    </row>
    <row r="41" customFormat="false" ht="15" hidden="false" customHeight="false" outlineLevel="0" collapsed="false">
      <c r="A41" s="9" t="s">
        <v>82</v>
      </c>
      <c r="B41" s="18" t="s">
        <v>83</v>
      </c>
      <c r="C41" s="13"/>
      <c r="D41" s="0" t="s">
        <v>84</v>
      </c>
    </row>
    <row r="42" customFormat="false" ht="26.25" hidden="false" customHeight="false" outlineLevel="0" collapsed="false">
      <c r="A42" s="9" t="s">
        <v>85</v>
      </c>
      <c r="B42" s="14" t="s">
        <v>86</v>
      </c>
      <c r="C42" s="17" t="n">
        <f aca="false">SUM(C40-C41)</f>
        <v>0</v>
      </c>
      <c r="D42" s="0" t="s">
        <v>87</v>
      </c>
    </row>
    <row r="43" customFormat="false" ht="15" hidden="false" customHeight="false" outlineLevel="0" collapsed="false">
      <c r="A43" s="9" t="s">
        <v>88</v>
      </c>
      <c r="B43" s="14" t="s">
        <v>89</v>
      </c>
      <c r="C43" s="17" t="n">
        <f aca="false">SUM(C42,C39)</f>
        <v>0</v>
      </c>
      <c r="D43" s="0" t="s">
        <v>90</v>
      </c>
    </row>
    <row r="44" customFormat="false" ht="26.25" hidden="false" customHeight="false" outlineLevel="0" collapsed="false">
      <c r="A44" s="9" t="s">
        <v>91</v>
      </c>
      <c r="B44" s="19" t="s">
        <v>92</v>
      </c>
      <c r="C44" s="11"/>
    </row>
    <row r="45" customFormat="false" ht="15" hidden="false" customHeight="false" outlineLevel="0" collapsed="false">
      <c r="A45" s="9"/>
      <c r="B45" s="15" t="s">
        <v>93</v>
      </c>
      <c r="C45" s="13"/>
      <c r="D45" s="0" t="s">
        <v>94</v>
      </c>
    </row>
    <row r="46" customFormat="false" ht="15" hidden="false" customHeight="false" outlineLevel="0" collapsed="false">
      <c r="A46" s="12"/>
      <c r="B46" s="15" t="s">
        <v>95</v>
      </c>
      <c r="C46" s="13"/>
      <c r="D46" s="0" t="s">
        <v>96</v>
      </c>
    </row>
    <row r="47" customFormat="false" ht="26.25" hidden="false" customHeight="false" outlineLevel="0" collapsed="false">
      <c r="A47" s="9" t="s">
        <v>97</v>
      </c>
      <c r="B47" s="19" t="s">
        <v>98</v>
      </c>
      <c r="C47" s="11"/>
    </row>
    <row r="48" customFormat="false" ht="15" hidden="false" customHeight="false" outlineLevel="0" collapsed="false">
      <c r="A48" s="9"/>
      <c r="B48" s="15" t="s">
        <v>93</v>
      </c>
      <c r="C48" s="13"/>
      <c r="D48" s="0" t="s">
        <v>145</v>
      </c>
    </row>
    <row r="49" customFormat="false" ht="15.75" hidden="false" customHeight="false" outlineLevel="0" collapsed="false">
      <c r="A49" s="32"/>
      <c r="B49" s="33" t="s">
        <v>95</v>
      </c>
      <c r="C49" s="34"/>
      <c r="D49" s="0" t="s">
        <v>146</v>
      </c>
    </row>
    <row r="50" customFormat="false" ht="30" hidden="false" customHeight="false" outlineLevel="0" collapsed="false">
      <c r="A50" s="23" t="s">
        <v>101</v>
      </c>
      <c r="B50" s="35" t="s">
        <v>102</v>
      </c>
      <c r="C50" s="25"/>
    </row>
    <row r="51" customFormat="false" ht="15" hidden="false" customHeight="false" outlineLevel="0" collapsed="false">
      <c r="A51" s="23" t="s">
        <v>103</v>
      </c>
      <c r="B51" s="26" t="s">
        <v>104</v>
      </c>
      <c r="C51" s="25"/>
    </row>
    <row r="52" customFormat="false" ht="15" hidden="false" customHeight="false" outlineLevel="0" collapsed="false">
      <c r="A52" s="23"/>
      <c r="B52" s="24" t="s">
        <v>105</v>
      </c>
      <c r="C52" s="27"/>
    </row>
    <row r="53" customFormat="false" ht="15" hidden="false" customHeight="false" outlineLevel="0" collapsed="false">
      <c r="A53" s="23"/>
      <c r="B53" s="28" t="s">
        <v>106</v>
      </c>
      <c r="C53" s="29"/>
      <c r="D53" s="0" t="s">
        <v>107</v>
      </c>
    </row>
    <row r="54" customFormat="false" ht="15" hidden="false" customHeight="false" outlineLevel="0" collapsed="false">
      <c r="A54" s="23"/>
      <c r="B54" s="28" t="s">
        <v>108</v>
      </c>
      <c r="C54" s="29"/>
      <c r="D54" s="0" t="s">
        <v>109</v>
      </c>
    </row>
    <row r="55" customFormat="false" ht="15" hidden="false" customHeight="false" outlineLevel="0" collapsed="false">
      <c r="A55" s="23"/>
      <c r="B55" s="28" t="s">
        <v>110</v>
      </c>
      <c r="C55" s="29"/>
      <c r="D55" s="0" t="s">
        <v>111</v>
      </c>
    </row>
    <row r="56" customFormat="false" ht="15" hidden="false" customHeight="false" outlineLevel="0" collapsed="false">
      <c r="A56" s="23"/>
      <c r="B56" s="28" t="s">
        <v>112</v>
      </c>
      <c r="C56" s="29"/>
      <c r="D56" s="0" t="s">
        <v>113</v>
      </c>
    </row>
    <row r="57" customFormat="false" ht="15" hidden="false" customHeight="false" outlineLevel="0" collapsed="false">
      <c r="A57" s="23"/>
      <c r="B57" s="28" t="s">
        <v>114</v>
      </c>
      <c r="C57" s="29"/>
      <c r="D57" s="0" t="s">
        <v>115</v>
      </c>
    </row>
    <row r="58" customFormat="false" ht="15" hidden="false" customHeight="false" outlineLevel="0" collapsed="false">
      <c r="A58" s="23"/>
      <c r="B58" s="28" t="s">
        <v>116</v>
      </c>
      <c r="C58" s="29"/>
      <c r="D58" s="0" t="s">
        <v>117</v>
      </c>
    </row>
    <row r="59" customFormat="false" ht="15" hidden="false" customHeight="false" outlineLevel="0" collapsed="false">
      <c r="A59" s="23"/>
      <c r="B59" s="28" t="s">
        <v>118</v>
      </c>
      <c r="C59" s="30"/>
      <c r="D59" s="0" t="s">
        <v>119</v>
      </c>
    </row>
    <row r="60" customFormat="false" ht="15" hidden="false" customHeight="false" outlineLevel="0" collapsed="false">
      <c r="A60" s="23" t="s">
        <v>120</v>
      </c>
      <c r="B60" s="26" t="s">
        <v>121</v>
      </c>
      <c r="C60" s="27"/>
    </row>
    <row r="61" customFormat="false" ht="15" hidden="false" customHeight="false" outlineLevel="0" collapsed="false">
      <c r="A61" s="23"/>
      <c r="B61" s="24" t="s">
        <v>105</v>
      </c>
      <c r="C61" s="27"/>
    </row>
    <row r="62" customFormat="false" ht="15" hidden="false" customHeight="false" outlineLevel="0" collapsed="false">
      <c r="A62" s="23"/>
      <c r="B62" s="31" t="s">
        <v>122</v>
      </c>
      <c r="C62" s="30"/>
      <c r="D62" s="0" t="s">
        <v>123</v>
      </c>
    </row>
    <row r="63" customFormat="false" ht="15" hidden="false" customHeight="false" outlineLevel="0" collapsed="false">
      <c r="A63" s="28"/>
      <c r="B63" s="28" t="s">
        <v>124</v>
      </c>
      <c r="C63" s="29"/>
      <c r="D63" s="0" t="s">
        <v>125</v>
      </c>
    </row>
    <row r="64" customFormat="false" ht="15" hidden="false" customHeight="false" outlineLevel="0" collapsed="false">
      <c r="A64" s="28"/>
      <c r="B64" s="28" t="s">
        <v>126</v>
      </c>
      <c r="C64" s="29"/>
      <c r="D64" s="0" t="s">
        <v>127</v>
      </c>
    </row>
    <row r="65" customFormat="false" ht="15" hidden="false" customHeight="false" outlineLevel="0" collapsed="false">
      <c r="A65" s="28"/>
      <c r="B65" s="28" t="s">
        <v>128</v>
      </c>
      <c r="C65" s="29"/>
      <c r="D65" s="0" t="s">
        <v>129</v>
      </c>
    </row>
    <row r="66" customFormat="false" ht="15" hidden="false" customHeight="false" outlineLevel="0" collapsed="false">
      <c r="A66" s="28"/>
      <c r="B66" s="24" t="s">
        <v>130</v>
      </c>
      <c r="C66" s="27"/>
    </row>
    <row r="67" customFormat="false" ht="15" hidden="false" customHeight="false" outlineLevel="0" collapsed="false">
      <c r="A67" s="28"/>
      <c r="B67" s="28" t="s">
        <v>110</v>
      </c>
      <c r="C67" s="29"/>
      <c r="D67" s="0" t="s">
        <v>131</v>
      </c>
    </row>
    <row r="68" customFormat="false" ht="15" hidden="false" customHeight="false" outlineLevel="0" collapsed="false">
      <c r="A68" s="28"/>
      <c r="B68" s="28" t="s">
        <v>112</v>
      </c>
      <c r="C68" s="29"/>
      <c r="D68" s="0" t="s">
        <v>132</v>
      </c>
    </row>
    <row r="69" customFormat="false" ht="15" hidden="false" customHeight="false" outlineLevel="0" collapsed="false">
      <c r="A69" s="28"/>
      <c r="B69" s="28" t="s">
        <v>114</v>
      </c>
      <c r="C69" s="29"/>
      <c r="D69" s="0" t="s">
        <v>133</v>
      </c>
    </row>
    <row r="70" customFormat="false" ht="15" hidden="false" customHeight="false" outlineLevel="0" collapsed="false">
      <c r="A70" s="28"/>
      <c r="B70" s="28" t="s">
        <v>134</v>
      </c>
      <c r="C70" s="29"/>
      <c r="D70" s="0" t="s">
        <v>135</v>
      </c>
    </row>
    <row r="71" customFormat="false" ht="15" hidden="false" customHeight="false" outlineLevel="0" collapsed="false">
      <c r="A71" s="28"/>
      <c r="B71" s="28" t="s">
        <v>136</v>
      </c>
      <c r="C71" s="29"/>
      <c r="D71" s="0" t="s">
        <v>137</v>
      </c>
    </row>
    <row r="72" customFormat="false" ht="15" hidden="false" customHeight="false" outlineLevel="0" collapsed="false">
      <c r="A72" s="28"/>
      <c r="B72" s="28" t="s">
        <v>138</v>
      </c>
      <c r="C72" s="29"/>
      <c r="D72" s="0" t="s">
        <v>139</v>
      </c>
    </row>
    <row r="73" customFormat="false" ht="15" hidden="false" customHeight="false" outlineLevel="0" collapsed="false">
      <c r="A73" s="28"/>
      <c r="B73" s="28" t="s">
        <v>140</v>
      </c>
      <c r="C73" s="30"/>
      <c r="D73" s="0" t="s">
        <v>141</v>
      </c>
    </row>
  </sheetData>
  <sheetProtection sheet="true" password="f99e"/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2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75" activeCellId="0" sqref="B75:C75"/>
    </sheetView>
  </sheetViews>
  <sheetFormatPr defaultColWidth="8.96484375" defaultRowHeight="15" zeroHeight="false" outlineLevelRow="0" outlineLevelCol="0"/>
  <cols>
    <col collapsed="false" customWidth="true" hidden="false" outlineLevel="0" max="2" min="2" style="0" width="44.13"/>
    <col collapsed="false" customWidth="true" hidden="false" outlineLevel="0" max="3" min="3" style="1" width="27.7"/>
    <col collapsed="false" customWidth="true" hidden="true" outlineLevel="0" max="4" min="4" style="0" width="9.14"/>
  </cols>
  <sheetData>
    <row r="1" customFormat="false" ht="15.75" hidden="tru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</row>
    <row r="2" customFormat="false" ht="42.75" hidden="false" customHeight="true" outlineLevel="0" collapsed="false">
      <c r="A2" s="36" t="s">
        <v>147</v>
      </c>
      <c r="B2" s="36"/>
      <c r="C2" s="36"/>
      <c r="D2" s="37"/>
      <c r="E2" s="38"/>
      <c r="F2" s="38"/>
      <c r="G2" s="38"/>
      <c r="H2" s="38"/>
    </row>
    <row r="3" customFormat="false" ht="42" hidden="false" customHeight="true" outlineLevel="0" collapsed="false">
      <c r="A3" s="39"/>
      <c r="B3" s="40" t="s">
        <v>148</v>
      </c>
      <c r="C3" s="41" t="s">
        <v>149</v>
      </c>
      <c r="D3" s="42"/>
    </row>
    <row r="4" customFormat="false" ht="15" hidden="false" customHeight="false" outlineLevel="0" collapsed="false">
      <c r="A4" s="42" t="n">
        <v>1</v>
      </c>
      <c r="B4" s="43" t="s">
        <v>150</v>
      </c>
      <c r="C4" s="44"/>
    </row>
    <row r="5" customFormat="false" ht="15" hidden="false" customHeight="false" outlineLevel="0" collapsed="false">
      <c r="A5" s="42"/>
      <c r="B5" s="43" t="s">
        <v>151</v>
      </c>
      <c r="C5" s="44"/>
    </row>
    <row r="6" customFormat="false" ht="15" hidden="false" customHeight="false" outlineLevel="0" collapsed="false">
      <c r="A6" s="42"/>
      <c r="B6" s="28" t="s">
        <v>152</v>
      </c>
      <c r="C6" s="45"/>
      <c r="D6" s="0" t="s">
        <v>153</v>
      </c>
    </row>
    <row r="7" customFormat="false" ht="15" hidden="false" customHeight="false" outlineLevel="0" collapsed="false">
      <c r="A7" s="42"/>
      <c r="B7" s="28" t="s">
        <v>154</v>
      </c>
      <c r="C7" s="45"/>
      <c r="D7" s="0" t="s">
        <v>155</v>
      </c>
    </row>
    <row r="8" customFormat="false" ht="15" hidden="false" customHeight="false" outlineLevel="0" collapsed="false">
      <c r="A8" s="42"/>
      <c r="B8" s="28" t="s">
        <v>156</v>
      </c>
      <c r="C8" s="45"/>
      <c r="D8" s="0" t="s">
        <v>157</v>
      </c>
    </row>
    <row r="9" customFormat="false" ht="15" hidden="false" customHeight="false" outlineLevel="0" collapsed="false">
      <c r="A9" s="42" t="n">
        <v>2</v>
      </c>
      <c r="B9" s="46" t="s">
        <v>158</v>
      </c>
      <c r="C9" s="45"/>
      <c r="D9" s="0" t="s">
        <v>159</v>
      </c>
    </row>
    <row r="10" customFormat="false" ht="15" hidden="false" customHeight="false" outlineLevel="0" collapsed="false">
      <c r="A10" s="42" t="n">
        <v>3</v>
      </c>
      <c r="B10" s="43" t="s">
        <v>160</v>
      </c>
      <c r="C10" s="44"/>
    </row>
    <row r="11" customFormat="false" ht="15" hidden="false" customHeight="false" outlineLevel="0" collapsed="false">
      <c r="A11" s="42"/>
      <c r="B11" s="28" t="s">
        <v>161</v>
      </c>
      <c r="C11" s="45"/>
      <c r="D11" s="0" t="s">
        <v>162</v>
      </c>
    </row>
    <row r="12" customFormat="false" ht="15" hidden="false" customHeight="false" outlineLevel="0" collapsed="false">
      <c r="A12" s="42"/>
      <c r="B12" s="28" t="s">
        <v>163</v>
      </c>
      <c r="C12" s="45"/>
      <c r="D12" s="0" t="s">
        <v>164</v>
      </c>
    </row>
    <row r="13" customFormat="false" ht="15" hidden="false" customHeight="false" outlineLevel="0" collapsed="false">
      <c r="A13" s="42"/>
      <c r="B13" s="47" t="s">
        <v>165</v>
      </c>
      <c r="C13" s="45"/>
      <c r="D13" s="0" t="s">
        <v>166</v>
      </c>
    </row>
    <row r="14" customFormat="false" ht="15" hidden="false" customHeight="false" outlineLevel="0" collapsed="false">
      <c r="A14" s="42"/>
      <c r="B14" s="28" t="s">
        <v>167</v>
      </c>
      <c r="C14" s="45"/>
      <c r="D14" s="0" t="s">
        <v>168</v>
      </c>
    </row>
    <row r="15" customFormat="false" ht="15" hidden="false" customHeight="false" outlineLevel="0" collapsed="false">
      <c r="A15" s="42" t="n">
        <v>4</v>
      </c>
      <c r="B15" s="26" t="s">
        <v>169</v>
      </c>
      <c r="C15" s="44"/>
    </row>
    <row r="16" customFormat="false" ht="15" hidden="false" customHeight="false" outlineLevel="0" collapsed="false">
      <c r="A16" s="42"/>
      <c r="B16" s="28" t="s">
        <v>170</v>
      </c>
      <c r="C16" s="45"/>
      <c r="D16" s="0" t="s">
        <v>171</v>
      </c>
    </row>
    <row r="17" customFormat="false" ht="15" hidden="false" customHeight="false" outlineLevel="0" collapsed="false">
      <c r="A17" s="42"/>
      <c r="B17" s="28" t="s">
        <v>172</v>
      </c>
      <c r="C17" s="45"/>
      <c r="D17" s="0" t="s">
        <v>173</v>
      </c>
    </row>
    <row r="18" customFormat="false" ht="15" hidden="false" customHeight="false" outlineLevel="0" collapsed="false">
      <c r="A18" s="42"/>
      <c r="B18" s="28" t="s">
        <v>174</v>
      </c>
      <c r="C18" s="45"/>
      <c r="D18" s="0" t="s">
        <v>175</v>
      </c>
    </row>
    <row r="19" customFormat="false" ht="15" hidden="false" customHeight="false" outlineLevel="0" collapsed="false">
      <c r="A19" s="42"/>
      <c r="B19" s="28" t="s">
        <v>176</v>
      </c>
      <c r="C19" s="45"/>
      <c r="D19" s="0" t="s">
        <v>177</v>
      </c>
    </row>
    <row r="20" customFormat="false" ht="15" hidden="false" customHeight="false" outlineLevel="0" collapsed="false">
      <c r="A20" s="42"/>
      <c r="B20" s="48" t="s">
        <v>178</v>
      </c>
      <c r="C20" s="44" t="n">
        <f aca="false">SUM(C6:C8,C9,C11:C14,C16:C19)</f>
        <v>0</v>
      </c>
      <c r="D20" s="0" t="s">
        <v>179</v>
      </c>
    </row>
    <row r="21" customFormat="false" ht="15" hidden="false" customHeight="false" outlineLevel="0" collapsed="false">
      <c r="A21" s="49" t="s">
        <v>180</v>
      </c>
      <c r="B21" s="43" t="s">
        <v>181</v>
      </c>
      <c r="C21" s="44"/>
    </row>
    <row r="22" customFormat="false" ht="15" hidden="false" customHeight="false" outlineLevel="0" collapsed="false">
      <c r="A22" s="42" t="n">
        <v>1</v>
      </c>
      <c r="B22" s="26" t="s">
        <v>182</v>
      </c>
      <c r="C22" s="44"/>
    </row>
    <row r="23" customFormat="false" ht="15" hidden="false" customHeight="false" outlineLevel="0" collapsed="false">
      <c r="A23" s="42"/>
      <c r="B23" s="24" t="s">
        <v>183</v>
      </c>
      <c r="C23" s="44"/>
    </row>
    <row r="24" customFormat="false" ht="15" hidden="false" customHeight="false" outlineLevel="0" collapsed="false">
      <c r="A24" s="42"/>
      <c r="B24" s="50" t="s">
        <v>184</v>
      </c>
      <c r="C24" s="45"/>
      <c r="D24" s="0" t="s">
        <v>185</v>
      </c>
    </row>
    <row r="25" customFormat="false" ht="15" hidden="false" customHeight="false" outlineLevel="0" collapsed="false">
      <c r="A25" s="42"/>
      <c r="B25" s="50" t="s">
        <v>186</v>
      </c>
      <c r="C25" s="45"/>
      <c r="D25" s="0" t="s">
        <v>187</v>
      </c>
    </row>
    <row r="26" customFormat="false" ht="15" hidden="false" customHeight="false" outlineLevel="0" collapsed="false">
      <c r="A26" s="42"/>
      <c r="B26" s="50" t="s">
        <v>188</v>
      </c>
      <c r="C26" s="45"/>
      <c r="D26" s="0" t="s">
        <v>189</v>
      </c>
    </row>
    <row r="27" customFormat="false" ht="15" hidden="false" customHeight="false" outlineLevel="0" collapsed="false">
      <c r="A27" s="42"/>
      <c r="B27" s="50" t="s">
        <v>190</v>
      </c>
      <c r="C27" s="45"/>
      <c r="D27" s="0" t="s">
        <v>191</v>
      </c>
    </row>
    <row r="28" customFormat="false" ht="15" hidden="false" customHeight="false" outlineLevel="0" collapsed="false">
      <c r="A28" s="42"/>
      <c r="B28" s="28" t="s">
        <v>192</v>
      </c>
      <c r="C28" s="45"/>
      <c r="D28" s="0" t="s">
        <v>193</v>
      </c>
    </row>
    <row r="29" customFormat="false" ht="15" hidden="false" customHeight="false" outlineLevel="0" collapsed="false">
      <c r="A29" s="42"/>
      <c r="B29" s="28" t="s">
        <v>194</v>
      </c>
      <c r="C29" s="45"/>
      <c r="D29" s="0" t="s">
        <v>195</v>
      </c>
    </row>
    <row r="30" customFormat="false" ht="15" hidden="false" customHeight="false" outlineLevel="0" collapsed="false">
      <c r="A30" s="42"/>
      <c r="B30" s="28" t="s">
        <v>196</v>
      </c>
      <c r="C30" s="45"/>
      <c r="D30" s="0" t="s">
        <v>197</v>
      </c>
    </row>
    <row r="31" customFormat="false" ht="15" hidden="false" customHeight="false" outlineLevel="0" collapsed="false">
      <c r="A31" s="42"/>
      <c r="B31" s="28" t="s">
        <v>198</v>
      </c>
      <c r="C31" s="45"/>
      <c r="D31" s="0" t="s">
        <v>199</v>
      </c>
    </row>
    <row r="32" customFormat="false" ht="15" hidden="false" customHeight="false" outlineLevel="0" collapsed="false">
      <c r="A32" s="42" t="n">
        <v>2</v>
      </c>
      <c r="B32" s="43" t="s">
        <v>200</v>
      </c>
      <c r="C32" s="44"/>
    </row>
    <row r="33" customFormat="false" ht="15" hidden="false" customHeight="false" outlineLevel="0" collapsed="false">
      <c r="A33" s="42"/>
      <c r="B33" s="28" t="s">
        <v>201</v>
      </c>
      <c r="C33" s="45"/>
      <c r="D33" s="0" t="s">
        <v>202</v>
      </c>
    </row>
    <row r="34" customFormat="false" ht="15" hidden="false" customHeight="false" outlineLevel="0" collapsed="false">
      <c r="A34" s="42"/>
      <c r="B34" s="28" t="s">
        <v>203</v>
      </c>
      <c r="C34" s="45"/>
      <c r="D34" s="0" t="s">
        <v>204</v>
      </c>
    </row>
    <row r="35" customFormat="false" ht="15" hidden="false" customHeight="false" outlineLevel="0" collapsed="false">
      <c r="A35" s="42"/>
      <c r="B35" s="28" t="s">
        <v>205</v>
      </c>
      <c r="C35" s="45"/>
      <c r="D35" s="0" t="s">
        <v>206</v>
      </c>
    </row>
    <row r="36" customFormat="false" ht="15" hidden="false" customHeight="false" outlineLevel="0" collapsed="false">
      <c r="A36" s="42"/>
      <c r="B36" s="28" t="s">
        <v>207</v>
      </c>
      <c r="C36" s="45"/>
      <c r="D36" s="0" t="s">
        <v>208</v>
      </c>
    </row>
    <row r="37" customFormat="false" ht="15" hidden="false" customHeight="false" outlineLevel="0" collapsed="false">
      <c r="A37" s="42"/>
      <c r="B37" s="28" t="s">
        <v>209</v>
      </c>
      <c r="C37" s="45"/>
      <c r="D37" s="0" t="s">
        <v>210</v>
      </c>
    </row>
    <row r="38" customFormat="false" ht="15" hidden="false" customHeight="false" outlineLevel="0" collapsed="false">
      <c r="A38" s="42"/>
      <c r="B38" s="28" t="s">
        <v>211</v>
      </c>
      <c r="C38" s="45"/>
      <c r="D38" s="0" t="s">
        <v>212</v>
      </c>
    </row>
    <row r="39" customFormat="false" ht="15.75" hidden="false" customHeight="false" outlineLevel="0" collapsed="false">
      <c r="A39" s="51"/>
      <c r="B39" s="52" t="s">
        <v>178</v>
      </c>
      <c r="C39" s="53" t="n">
        <f aca="false">SUM(C24:C31,C33:C38)</f>
        <v>0</v>
      </c>
      <c r="D39" s="0" t="s">
        <v>213</v>
      </c>
    </row>
    <row r="40" customFormat="false" ht="15.75" hidden="false" customHeight="false" outlineLevel="0" collapsed="false">
      <c r="A40" s="54"/>
      <c r="F40" s="54"/>
    </row>
    <row r="41" customFormat="false" ht="47.25" hidden="false" customHeight="true" outlineLevel="0" collapsed="false">
      <c r="A41" s="55" t="s">
        <v>214</v>
      </c>
      <c r="B41" s="55"/>
      <c r="C41" s="55"/>
      <c r="D41" s="56"/>
    </row>
    <row r="42" customFormat="false" ht="15.75" hidden="false" customHeight="false" outlineLevel="0" collapsed="false">
      <c r="A42" s="56"/>
      <c r="B42" s="56"/>
      <c r="C42" s="56"/>
      <c r="D42" s="56"/>
    </row>
    <row r="43" customFormat="false" ht="15" hidden="false" customHeight="false" outlineLevel="0" collapsed="false">
      <c r="A43" s="56"/>
      <c r="B43" s="57" t="s">
        <v>215</v>
      </c>
      <c r="C43" s="58"/>
    </row>
    <row r="44" customFormat="false" ht="15" hidden="false" customHeight="false" outlineLevel="0" collapsed="false">
      <c r="A44" s="56"/>
      <c r="B44" s="59" t="s">
        <v>148</v>
      </c>
      <c r="C44" s="60" t="s">
        <v>216</v>
      </c>
    </row>
    <row r="45" customFormat="false" ht="15" hidden="false" customHeight="false" outlineLevel="0" collapsed="false">
      <c r="A45" s="56"/>
      <c r="B45" s="61" t="s">
        <v>217</v>
      </c>
      <c r="C45" s="62"/>
      <c r="D45" s="0" t="s">
        <v>218</v>
      </c>
    </row>
    <row r="46" customFormat="false" ht="15" hidden="false" customHeight="false" outlineLevel="0" collapsed="false">
      <c r="A46" s="56"/>
      <c r="B46" s="63" t="s">
        <v>219</v>
      </c>
      <c r="C46" s="64"/>
    </row>
    <row r="47" customFormat="false" ht="15" hidden="false" customHeight="false" outlineLevel="0" collapsed="false">
      <c r="A47" s="56"/>
      <c r="B47" s="65" t="s">
        <v>220</v>
      </c>
      <c r="C47" s="62"/>
      <c r="D47" s="0" t="s">
        <v>221</v>
      </c>
    </row>
    <row r="48" customFormat="false" ht="15" hidden="false" customHeight="false" outlineLevel="0" collapsed="false">
      <c r="A48" s="56"/>
      <c r="B48" s="65" t="s">
        <v>222</v>
      </c>
      <c r="C48" s="62"/>
      <c r="D48" s="0" t="s">
        <v>223</v>
      </c>
    </row>
    <row r="49" customFormat="false" ht="15" hidden="false" customHeight="false" outlineLevel="0" collapsed="false">
      <c r="B49" s="66" t="s">
        <v>224</v>
      </c>
      <c r="C49" s="62"/>
      <c r="D49" s="0" t="s">
        <v>225</v>
      </c>
    </row>
    <row r="50" customFormat="false" ht="15" hidden="false" customHeight="false" outlineLevel="0" collapsed="false">
      <c r="B50" s="66" t="s">
        <v>226</v>
      </c>
      <c r="C50" s="62"/>
      <c r="D50" s="0" t="s">
        <v>227</v>
      </c>
    </row>
    <row r="51" customFormat="false" ht="15" hidden="false" customHeight="false" outlineLevel="0" collapsed="false">
      <c r="B51" s="61" t="s">
        <v>228</v>
      </c>
      <c r="C51" s="62"/>
      <c r="D51" s="0" t="s">
        <v>229</v>
      </c>
    </row>
    <row r="52" customFormat="false" ht="26.25" hidden="false" customHeight="false" outlineLevel="0" collapsed="false">
      <c r="B52" s="67" t="s">
        <v>230</v>
      </c>
      <c r="C52" s="62"/>
      <c r="D52" s="0" t="s">
        <v>231</v>
      </c>
    </row>
    <row r="53" customFormat="false" ht="15" hidden="false" customHeight="false" outlineLevel="0" collapsed="false">
      <c r="B53" s="61" t="s">
        <v>232</v>
      </c>
      <c r="C53" s="62"/>
      <c r="D53" s="0" t="s">
        <v>233</v>
      </c>
    </row>
    <row r="54" customFormat="false" ht="15" hidden="false" customHeight="false" outlineLevel="0" collapsed="false">
      <c r="B54" s="59" t="s">
        <v>234</v>
      </c>
      <c r="C54" s="64" t="n">
        <f aca="false">SUM(C45,C47:C53)</f>
        <v>0</v>
      </c>
      <c r="D54" s="0" t="s">
        <v>235</v>
      </c>
    </row>
    <row r="55" customFormat="false" ht="27" hidden="false" customHeight="false" outlineLevel="0" collapsed="false">
      <c r="B55" s="68" t="s">
        <v>236</v>
      </c>
      <c r="C55" s="69"/>
      <c r="D55" s="0" t="s">
        <v>237</v>
      </c>
    </row>
    <row r="56" customFormat="false" ht="15.75" hidden="false" customHeight="false" outlineLevel="0" collapsed="false">
      <c r="B56" s="56"/>
      <c r="C56" s="56"/>
      <c r="D56" s="56"/>
    </row>
    <row r="57" customFormat="false" ht="15" hidden="false" customHeight="false" outlineLevel="0" collapsed="false">
      <c r="B57" s="70" t="s">
        <v>238</v>
      </c>
      <c r="C57" s="71"/>
    </row>
    <row r="58" customFormat="false" ht="15" hidden="false" customHeight="false" outlineLevel="0" collapsed="false">
      <c r="B58" s="59" t="s">
        <v>148</v>
      </c>
      <c r="C58" s="60" t="s">
        <v>216</v>
      </c>
    </row>
    <row r="59" customFormat="false" ht="15" hidden="false" customHeight="false" outlineLevel="0" collapsed="false">
      <c r="B59" s="59" t="s">
        <v>239</v>
      </c>
      <c r="C59" s="72"/>
    </row>
    <row r="60" customFormat="false" ht="15" hidden="false" customHeight="false" outlineLevel="0" collapsed="false">
      <c r="B60" s="65" t="s">
        <v>220</v>
      </c>
      <c r="C60" s="62"/>
      <c r="D60" s="0" t="s">
        <v>240</v>
      </c>
    </row>
    <row r="61" customFormat="false" ht="15" hidden="false" customHeight="false" outlineLevel="0" collapsed="false">
      <c r="B61" s="65" t="s">
        <v>222</v>
      </c>
      <c r="C61" s="62"/>
      <c r="D61" s="0" t="s">
        <v>241</v>
      </c>
    </row>
    <row r="62" customFormat="false" ht="15" hidden="false" customHeight="false" outlineLevel="0" collapsed="false">
      <c r="B62" s="61" t="s">
        <v>228</v>
      </c>
      <c r="C62" s="62"/>
      <c r="D62" s="0" t="s">
        <v>242</v>
      </c>
    </row>
    <row r="63" customFormat="false" ht="15" hidden="false" customHeight="false" outlineLevel="0" collapsed="false">
      <c r="B63" s="61" t="s">
        <v>226</v>
      </c>
      <c r="C63" s="62"/>
      <c r="D63" s="0" t="s">
        <v>243</v>
      </c>
    </row>
    <row r="64" customFormat="false" ht="15" hidden="false" customHeight="false" outlineLevel="0" collapsed="false">
      <c r="B64" s="61" t="s">
        <v>244</v>
      </c>
      <c r="C64" s="62"/>
      <c r="D64" s="0" t="s">
        <v>245</v>
      </c>
    </row>
    <row r="65" customFormat="false" ht="15" hidden="false" customHeight="false" outlineLevel="0" collapsed="false">
      <c r="B65" s="59" t="s">
        <v>246</v>
      </c>
      <c r="C65" s="64" t="n">
        <f aca="false">SUM(C60:C64)</f>
        <v>0</v>
      </c>
      <c r="D65" s="0" t="s">
        <v>247</v>
      </c>
    </row>
    <row r="66" customFormat="false" ht="27" hidden="false" customHeight="false" outlineLevel="0" collapsed="false">
      <c r="B66" s="68" t="s">
        <v>236</v>
      </c>
      <c r="C66" s="69"/>
      <c r="D66" s="0" t="s">
        <v>248</v>
      </c>
    </row>
    <row r="67" customFormat="false" ht="15.75" hidden="false" customHeight="false" outlineLevel="0" collapsed="false">
      <c r="B67" s="56"/>
      <c r="C67" s="56"/>
    </row>
    <row r="68" customFormat="false" ht="15" hidden="false" customHeight="false" outlineLevel="0" collapsed="false">
      <c r="B68" s="57" t="s">
        <v>249</v>
      </c>
      <c r="C68" s="58"/>
    </row>
    <row r="69" customFormat="false" ht="15" hidden="false" customHeight="false" outlineLevel="0" collapsed="false">
      <c r="B69" s="59" t="s">
        <v>148</v>
      </c>
      <c r="C69" s="60" t="s">
        <v>216</v>
      </c>
    </row>
    <row r="70" customFormat="false" ht="15" hidden="false" customHeight="false" outlineLevel="0" collapsed="false">
      <c r="B70" s="61" t="s">
        <v>250</v>
      </c>
      <c r="C70" s="62"/>
      <c r="D70" s="0" t="s">
        <v>251</v>
      </c>
    </row>
    <row r="71" customFormat="false" ht="15" hidden="false" customHeight="false" outlineLevel="0" collapsed="false">
      <c r="B71" s="61" t="s">
        <v>252</v>
      </c>
      <c r="C71" s="62"/>
      <c r="D71" s="0" t="s">
        <v>253</v>
      </c>
    </row>
    <row r="72" customFormat="false" ht="15" hidden="false" customHeight="false" outlineLevel="0" collapsed="false">
      <c r="B72" s="61" t="s">
        <v>254</v>
      </c>
      <c r="C72" s="62"/>
      <c r="D72" s="0" t="s">
        <v>255</v>
      </c>
    </row>
    <row r="73" customFormat="false" ht="15" hidden="false" customHeight="false" outlineLevel="0" collapsed="false">
      <c r="B73" s="61" t="s">
        <v>244</v>
      </c>
      <c r="C73" s="62"/>
      <c r="D73" s="0" t="s">
        <v>256</v>
      </c>
    </row>
    <row r="74" customFormat="false" ht="15" hidden="false" customHeight="false" outlineLevel="0" collapsed="false">
      <c r="B74" s="59" t="s">
        <v>257</v>
      </c>
      <c r="C74" s="64" t="n">
        <f aca="false">SUM(C70:C73)</f>
        <v>0</v>
      </c>
      <c r="D74" s="0" t="s">
        <v>258</v>
      </c>
    </row>
    <row r="75" customFormat="false" ht="26.25" hidden="false" customHeight="false" outlineLevel="0" collapsed="false">
      <c r="B75" s="73" t="s">
        <v>259</v>
      </c>
      <c r="C75" s="64"/>
    </row>
    <row r="76" customFormat="false" ht="15" hidden="false" customHeight="false" outlineLevel="0" collapsed="false">
      <c r="B76" s="65" t="s">
        <v>260</v>
      </c>
      <c r="C76" s="62"/>
      <c r="D76" s="0" t="s">
        <v>261</v>
      </c>
    </row>
    <row r="77" customFormat="false" ht="15" hidden="false" customHeight="false" outlineLevel="0" collapsed="false">
      <c r="B77" s="65" t="s">
        <v>262</v>
      </c>
      <c r="C77" s="62"/>
      <c r="D77" s="0" t="s">
        <v>263</v>
      </c>
    </row>
    <row r="78" customFormat="false" ht="26.25" hidden="false" customHeight="false" outlineLevel="0" collapsed="false">
      <c r="B78" s="74" t="s">
        <v>264</v>
      </c>
      <c r="C78" s="64" t="n">
        <f aca="false">SUM(C74-(C76+C77))</f>
        <v>0</v>
      </c>
      <c r="D78" s="0" t="s">
        <v>265</v>
      </c>
    </row>
    <row r="79" customFormat="false" ht="39.75" hidden="false" customHeight="false" outlineLevel="0" collapsed="false">
      <c r="B79" s="68" t="s">
        <v>266</v>
      </c>
      <c r="C79" s="69"/>
      <c r="D79" s="0" t="s">
        <v>267</v>
      </c>
    </row>
    <row r="80" customFormat="false" ht="15.75" hidden="false" customHeight="false" outlineLevel="0" collapsed="false"/>
    <row r="81" customFormat="false" ht="15" hidden="false" customHeight="false" outlineLevel="0" collapsed="false">
      <c r="B81" s="75" t="s">
        <v>268</v>
      </c>
      <c r="C81" s="76"/>
    </row>
    <row r="82" customFormat="false" ht="15" hidden="false" customHeight="false" outlineLevel="0" collapsed="false">
      <c r="B82" s="59" t="s">
        <v>148</v>
      </c>
      <c r="C82" s="60" t="s">
        <v>216</v>
      </c>
    </row>
    <row r="83" customFormat="false" ht="15" hidden="false" customHeight="false" outlineLevel="0" collapsed="false">
      <c r="B83" s="61" t="s">
        <v>250</v>
      </c>
      <c r="C83" s="62"/>
      <c r="D83" s="0" t="s">
        <v>269</v>
      </c>
    </row>
    <row r="84" customFormat="false" ht="15" hidden="false" customHeight="false" outlineLevel="0" collapsed="false">
      <c r="B84" s="61" t="s">
        <v>252</v>
      </c>
      <c r="C84" s="62"/>
      <c r="D84" s="0" t="s">
        <v>270</v>
      </c>
    </row>
    <row r="85" customFormat="false" ht="15" hidden="false" customHeight="false" outlineLevel="0" collapsed="false">
      <c r="B85" s="61" t="s">
        <v>271</v>
      </c>
      <c r="C85" s="62"/>
      <c r="D85" s="0" t="s">
        <v>272</v>
      </c>
    </row>
    <row r="86" customFormat="false" ht="15" hidden="false" customHeight="false" outlineLevel="0" collapsed="false">
      <c r="B86" s="61" t="s">
        <v>244</v>
      </c>
      <c r="C86" s="62"/>
      <c r="D86" s="0" t="s">
        <v>273</v>
      </c>
    </row>
    <row r="87" customFormat="false" ht="15" hidden="false" customHeight="false" outlineLevel="0" collapsed="false">
      <c r="B87" s="59" t="s">
        <v>257</v>
      </c>
      <c r="C87" s="64" t="n">
        <f aca="false">SUM(C83:C86)</f>
        <v>0</v>
      </c>
      <c r="D87" s="0" t="s">
        <v>274</v>
      </c>
    </row>
    <row r="88" customFormat="false" ht="26.25" hidden="false" customHeight="false" outlineLevel="0" collapsed="false">
      <c r="B88" s="73" t="s">
        <v>259</v>
      </c>
      <c r="C88" s="64"/>
    </row>
    <row r="89" customFormat="false" ht="15" hidden="false" customHeight="false" outlineLevel="0" collapsed="false">
      <c r="B89" s="65" t="s">
        <v>260</v>
      </c>
      <c r="C89" s="62"/>
      <c r="D89" s="0" t="s">
        <v>275</v>
      </c>
    </row>
    <row r="90" customFormat="false" ht="15" hidden="false" customHeight="false" outlineLevel="0" collapsed="false">
      <c r="B90" s="65" t="s">
        <v>262</v>
      </c>
      <c r="C90" s="62"/>
      <c r="D90" s="0" t="s">
        <v>276</v>
      </c>
    </row>
    <row r="91" customFormat="false" ht="15" hidden="false" customHeight="false" outlineLevel="0" collapsed="false">
      <c r="B91" s="59" t="s">
        <v>277</v>
      </c>
      <c r="C91" s="64" t="n">
        <f aca="false">SUM(C87-(C89+C90))</f>
        <v>0</v>
      </c>
      <c r="D91" s="0" t="s">
        <v>278</v>
      </c>
    </row>
    <row r="92" customFormat="false" ht="39.75" hidden="false" customHeight="false" outlineLevel="0" collapsed="false">
      <c r="B92" s="68" t="s">
        <v>266</v>
      </c>
      <c r="C92" s="69"/>
      <c r="D92" s="0" t="s">
        <v>279</v>
      </c>
    </row>
  </sheetData>
  <sheetProtection sheet="true" password="f99e"/>
  <mergeCells count="2">
    <mergeCell ref="A2:C2"/>
    <mergeCell ref="A41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H78" activeCellId="0" sqref="H78"/>
    </sheetView>
  </sheetViews>
  <sheetFormatPr defaultColWidth="8.96484375" defaultRowHeight="15" zeroHeight="false" outlineLevelRow="0" outlineLevelCol="0"/>
  <cols>
    <col collapsed="false" customWidth="true" hidden="false" outlineLevel="0" max="2" min="2" style="0" width="42.56"/>
    <col collapsed="false" customWidth="true" hidden="false" outlineLevel="0" max="3" min="3" style="1" width="29.13"/>
    <col collapsed="false" customWidth="true" hidden="true" outlineLevel="0" max="4" min="4" style="0" width="9.14"/>
  </cols>
  <sheetData>
    <row r="1" customFormat="false" ht="15.75" hidden="tru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</row>
    <row r="2" customFormat="false" ht="41.25" hidden="false" customHeight="true" outlineLevel="0" collapsed="false">
      <c r="A2" s="36" t="s">
        <v>280</v>
      </c>
      <c r="B2" s="36"/>
      <c r="C2" s="36"/>
    </row>
    <row r="3" customFormat="false" ht="39" hidden="false" customHeight="false" outlineLevel="0" collapsed="false">
      <c r="A3" s="39"/>
      <c r="B3" s="40" t="s">
        <v>148</v>
      </c>
      <c r="C3" s="41" t="s">
        <v>281</v>
      </c>
    </row>
    <row r="4" customFormat="false" ht="15" hidden="false" customHeight="false" outlineLevel="0" collapsed="false">
      <c r="A4" s="42" t="n">
        <v>1</v>
      </c>
      <c r="B4" s="43" t="s">
        <v>150</v>
      </c>
      <c r="C4" s="44"/>
    </row>
    <row r="5" customFormat="false" ht="15" hidden="false" customHeight="false" outlineLevel="0" collapsed="false">
      <c r="A5" s="42"/>
      <c r="B5" s="43" t="s">
        <v>151</v>
      </c>
      <c r="C5" s="44"/>
    </row>
    <row r="6" customFormat="false" ht="15" hidden="false" customHeight="false" outlineLevel="0" collapsed="false">
      <c r="A6" s="42"/>
      <c r="B6" s="28" t="s">
        <v>152</v>
      </c>
      <c r="C6" s="45"/>
      <c r="D6" s="0" t="s">
        <v>153</v>
      </c>
    </row>
    <row r="7" customFormat="false" ht="15" hidden="false" customHeight="false" outlineLevel="0" collapsed="false">
      <c r="A7" s="42"/>
      <c r="B7" s="28" t="s">
        <v>154</v>
      </c>
      <c r="C7" s="45"/>
      <c r="D7" s="0" t="s">
        <v>155</v>
      </c>
    </row>
    <row r="8" customFormat="false" ht="15" hidden="false" customHeight="false" outlineLevel="0" collapsed="false">
      <c r="A8" s="42"/>
      <c r="B8" s="28" t="s">
        <v>156</v>
      </c>
      <c r="C8" s="45"/>
      <c r="D8" s="0" t="s">
        <v>157</v>
      </c>
    </row>
    <row r="9" customFormat="false" ht="17.25" hidden="false" customHeight="true" outlineLevel="0" collapsed="false">
      <c r="A9" s="42" t="n">
        <v>2</v>
      </c>
      <c r="B9" s="46" t="s">
        <v>158</v>
      </c>
      <c r="C9" s="45"/>
      <c r="D9" s="0" t="s">
        <v>159</v>
      </c>
    </row>
    <row r="10" customFormat="false" ht="15" hidden="false" customHeight="false" outlineLevel="0" collapsed="false">
      <c r="A10" s="42" t="n">
        <v>3</v>
      </c>
      <c r="B10" s="43" t="s">
        <v>160</v>
      </c>
      <c r="C10" s="44"/>
    </row>
    <row r="11" customFormat="false" ht="15" hidden="false" customHeight="false" outlineLevel="0" collapsed="false">
      <c r="A11" s="42"/>
      <c r="B11" s="28" t="s">
        <v>161</v>
      </c>
      <c r="C11" s="45"/>
      <c r="D11" s="0" t="s">
        <v>162</v>
      </c>
    </row>
    <row r="12" customFormat="false" ht="15" hidden="false" customHeight="false" outlineLevel="0" collapsed="false">
      <c r="A12" s="42"/>
      <c r="B12" s="28" t="s">
        <v>163</v>
      </c>
      <c r="C12" s="45"/>
      <c r="D12" s="0" t="s">
        <v>164</v>
      </c>
    </row>
    <row r="13" customFormat="false" ht="15" hidden="false" customHeight="false" outlineLevel="0" collapsed="false">
      <c r="A13" s="42"/>
      <c r="B13" s="47" t="s">
        <v>165</v>
      </c>
      <c r="C13" s="45"/>
      <c r="D13" s="0" t="s">
        <v>166</v>
      </c>
    </row>
    <row r="14" customFormat="false" ht="15" hidden="false" customHeight="false" outlineLevel="0" collapsed="false">
      <c r="A14" s="42"/>
      <c r="B14" s="28" t="s">
        <v>167</v>
      </c>
      <c r="C14" s="45"/>
      <c r="D14" s="0" t="s">
        <v>168</v>
      </c>
    </row>
    <row r="15" customFormat="false" ht="15" hidden="false" customHeight="false" outlineLevel="0" collapsed="false">
      <c r="A15" s="42" t="n">
        <v>4</v>
      </c>
      <c r="B15" s="26" t="s">
        <v>169</v>
      </c>
      <c r="C15" s="44"/>
    </row>
    <row r="16" customFormat="false" ht="15" hidden="false" customHeight="false" outlineLevel="0" collapsed="false">
      <c r="A16" s="42"/>
      <c r="B16" s="28" t="s">
        <v>170</v>
      </c>
      <c r="C16" s="45"/>
      <c r="D16" s="0" t="s">
        <v>171</v>
      </c>
    </row>
    <row r="17" customFormat="false" ht="15" hidden="false" customHeight="false" outlineLevel="0" collapsed="false">
      <c r="A17" s="42"/>
      <c r="B17" s="28" t="s">
        <v>172</v>
      </c>
      <c r="C17" s="45"/>
      <c r="D17" s="0" t="s">
        <v>173</v>
      </c>
    </row>
    <row r="18" customFormat="false" ht="15" hidden="false" customHeight="false" outlineLevel="0" collapsed="false">
      <c r="A18" s="42"/>
      <c r="B18" s="28" t="s">
        <v>174</v>
      </c>
      <c r="C18" s="45"/>
      <c r="D18" s="0" t="s">
        <v>175</v>
      </c>
    </row>
    <row r="19" customFormat="false" ht="15" hidden="false" customHeight="false" outlineLevel="0" collapsed="false">
      <c r="A19" s="42"/>
      <c r="B19" s="28" t="s">
        <v>176</v>
      </c>
      <c r="C19" s="45"/>
      <c r="D19" s="0" t="s">
        <v>177</v>
      </c>
    </row>
    <row r="20" customFormat="false" ht="15" hidden="false" customHeight="false" outlineLevel="0" collapsed="false">
      <c r="A20" s="42"/>
      <c r="B20" s="48" t="s">
        <v>178</v>
      </c>
      <c r="C20" s="44" t="n">
        <f aca="false">SUM(C6:C8,C9,C11:C14,C16:C19)</f>
        <v>0</v>
      </c>
      <c r="D20" s="0" t="s">
        <v>179</v>
      </c>
    </row>
    <row r="21" customFormat="false" ht="15" hidden="false" customHeight="false" outlineLevel="0" collapsed="false">
      <c r="A21" s="49" t="s">
        <v>180</v>
      </c>
      <c r="B21" s="43" t="s">
        <v>181</v>
      </c>
      <c r="C21" s="44"/>
    </row>
    <row r="22" customFormat="false" ht="15" hidden="false" customHeight="false" outlineLevel="0" collapsed="false">
      <c r="A22" s="42" t="n">
        <v>1</v>
      </c>
      <c r="B22" s="26" t="s">
        <v>182</v>
      </c>
      <c r="C22" s="44"/>
    </row>
    <row r="23" customFormat="false" ht="15" hidden="false" customHeight="false" outlineLevel="0" collapsed="false">
      <c r="A23" s="42"/>
      <c r="B23" s="28" t="s">
        <v>183</v>
      </c>
      <c r="C23" s="77"/>
    </row>
    <row r="24" customFormat="false" ht="15" hidden="false" customHeight="false" outlineLevel="0" collapsed="false">
      <c r="A24" s="42"/>
      <c r="B24" s="50" t="s">
        <v>184</v>
      </c>
      <c r="C24" s="45"/>
      <c r="D24" s="0" t="s">
        <v>185</v>
      </c>
    </row>
    <row r="25" customFormat="false" ht="15" hidden="false" customHeight="false" outlineLevel="0" collapsed="false">
      <c r="A25" s="42"/>
      <c r="B25" s="50" t="s">
        <v>186</v>
      </c>
      <c r="C25" s="45"/>
      <c r="D25" s="0" t="s">
        <v>187</v>
      </c>
    </row>
    <row r="26" customFormat="false" ht="15" hidden="false" customHeight="false" outlineLevel="0" collapsed="false">
      <c r="A26" s="42"/>
      <c r="B26" s="50" t="s">
        <v>188</v>
      </c>
      <c r="C26" s="45"/>
      <c r="D26" s="0" t="s">
        <v>189</v>
      </c>
    </row>
    <row r="27" customFormat="false" ht="15" hidden="false" customHeight="false" outlineLevel="0" collapsed="false">
      <c r="A27" s="42"/>
      <c r="B27" s="50" t="s">
        <v>190</v>
      </c>
      <c r="C27" s="45"/>
      <c r="D27" s="0" t="s">
        <v>191</v>
      </c>
    </row>
    <row r="28" customFormat="false" ht="15" hidden="false" customHeight="false" outlineLevel="0" collapsed="false">
      <c r="A28" s="42"/>
      <c r="B28" s="28" t="s">
        <v>192</v>
      </c>
      <c r="C28" s="45"/>
      <c r="D28" s="0" t="s">
        <v>193</v>
      </c>
    </row>
    <row r="29" customFormat="false" ht="15" hidden="false" customHeight="false" outlineLevel="0" collapsed="false">
      <c r="A29" s="42"/>
      <c r="B29" s="28" t="s">
        <v>194</v>
      </c>
      <c r="C29" s="45"/>
      <c r="D29" s="0" t="s">
        <v>195</v>
      </c>
    </row>
    <row r="30" customFormat="false" ht="15" hidden="false" customHeight="false" outlineLevel="0" collapsed="false">
      <c r="A30" s="42"/>
      <c r="B30" s="28" t="s">
        <v>196</v>
      </c>
      <c r="C30" s="45"/>
      <c r="D30" s="0" t="s">
        <v>197</v>
      </c>
    </row>
    <row r="31" customFormat="false" ht="15" hidden="false" customHeight="false" outlineLevel="0" collapsed="false">
      <c r="A31" s="42"/>
      <c r="B31" s="28" t="s">
        <v>198</v>
      </c>
      <c r="C31" s="45"/>
      <c r="D31" s="0" t="s">
        <v>199</v>
      </c>
    </row>
    <row r="32" customFormat="false" ht="15" hidden="false" customHeight="false" outlineLevel="0" collapsed="false">
      <c r="A32" s="42" t="n">
        <v>2</v>
      </c>
      <c r="B32" s="43" t="s">
        <v>200</v>
      </c>
      <c r="C32" s="44"/>
    </row>
    <row r="33" customFormat="false" ht="15" hidden="false" customHeight="false" outlineLevel="0" collapsed="false">
      <c r="A33" s="42"/>
      <c r="B33" s="28" t="s">
        <v>201</v>
      </c>
      <c r="C33" s="45"/>
      <c r="D33" s="0" t="s">
        <v>202</v>
      </c>
    </row>
    <row r="34" customFormat="false" ht="15" hidden="false" customHeight="false" outlineLevel="0" collapsed="false">
      <c r="A34" s="42"/>
      <c r="B34" s="28" t="s">
        <v>203</v>
      </c>
      <c r="C34" s="45"/>
      <c r="D34" s="0" t="s">
        <v>204</v>
      </c>
    </row>
    <row r="35" customFormat="false" ht="15" hidden="false" customHeight="false" outlineLevel="0" collapsed="false">
      <c r="A35" s="42"/>
      <c r="B35" s="28" t="s">
        <v>205</v>
      </c>
      <c r="C35" s="45"/>
      <c r="D35" s="0" t="s">
        <v>206</v>
      </c>
    </row>
    <row r="36" customFormat="false" ht="15" hidden="false" customHeight="false" outlineLevel="0" collapsed="false">
      <c r="A36" s="42"/>
      <c r="B36" s="28" t="s">
        <v>207</v>
      </c>
      <c r="C36" s="45"/>
      <c r="D36" s="0" t="s">
        <v>208</v>
      </c>
    </row>
    <row r="37" customFormat="false" ht="15" hidden="false" customHeight="false" outlineLevel="0" collapsed="false">
      <c r="A37" s="42"/>
      <c r="B37" s="28" t="s">
        <v>209</v>
      </c>
      <c r="C37" s="45"/>
      <c r="D37" s="0" t="s">
        <v>210</v>
      </c>
    </row>
    <row r="38" customFormat="false" ht="15" hidden="false" customHeight="false" outlineLevel="0" collapsed="false">
      <c r="A38" s="42"/>
      <c r="B38" s="28" t="s">
        <v>211</v>
      </c>
      <c r="C38" s="45"/>
      <c r="D38" s="0" t="s">
        <v>212</v>
      </c>
    </row>
    <row r="39" customFormat="false" ht="15.75" hidden="false" customHeight="false" outlineLevel="0" collapsed="false">
      <c r="A39" s="78"/>
      <c r="B39" s="52" t="s">
        <v>178</v>
      </c>
      <c r="C39" s="53" t="n">
        <f aca="false">SUM(C24:C31,C33:C38)</f>
        <v>0</v>
      </c>
      <c r="D39" s="0" t="s">
        <v>213</v>
      </c>
    </row>
    <row r="40" customFormat="false" ht="15.75" hidden="false" customHeight="false" outlineLevel="0" collapsed="false"/>
    <row r="41" customFormat="false" ht="40.5" hidden="false" customHeight="true" outlineLevel="0" collapsed="false">
      <c r="A41" s="55" t="s">
        <v>214</v>
      </c>
      <c r="B41" s="55"/>
      <c r="C41" s="55"/>
    </row>
    <row r="42" customFormat="false" ht="15.75" hidden="false" customHeight="false" outlineLevel="0" collapsed="false">
      <c r="A42" s="56"/>
      <c r="B42" s="56"/>
      <c r="C42" s="56"/>
    </row>
    <row r="43" customFormat="false" ht="15" hidden="false" customHeight="false" outlineLevel="0" collapsed="false">
      <c r="A43" s="56"/>
      <c r="B43" s="57" t="s">
        <v>215</v>
      </c>
      <c r="C43" s="58"/>
    </row>
    <row r="44" customFormat="false" ht="15" hidden="false" customHeight="false" outlineLevel="0" collapsed="false">
      <c r="A44" s="56"/>
      <c r="B44" s="59" t="s">
        <v>148</v>
      </c>
      <c r="C44" s="60" t="s">
        <v>282</v>
      </c>
    </row>
    <row r="45" customFormat="false" ht="15" hidden="false" customHeight="false" outlineLevel="0" collapsed="false">
      <c r="A45" s="56"/>
      <c r="B45" s="61" t="s">
        <v>217</v>
      </c>
      <c r="C45" s="62"/>
      <c r="D45" s="0" t="s">
        <v>218</v>
      </c>
    </row>
    <row r="46" customFormat="false" ht="15" hidden="false" customHeight="false" outlineLevel="0" collapsed="false">
      <c r="A46" s="56"/>
      <c r="B46" s="63" t="s">
        <v>219</v>
      </c>
      <c r="C46" s="64"/>
    </row>
    <row r="47" customFormat="false" ht="15" hidden="false" customHeight="false" outlineLevel="0" collapsed="false">
      <c r="A47" s="56"/>
      <c r="B47" s="65" t="s">
        <v>220</v>
      </c>
      <c r="C47" s="62"/>
      <c r="D47" s="0" t="s">
        <v>221</v>
      </c>
    </row>
    <row r="48" customFormat="false" ht="15" hidden="false" customHeight="false" outlineLevel="0" collapsed="false">
      <c r="A48" s="56"/>
      <c r="B48" s="65" t="s">
        <v>222</v>
      </c>
      <c r="C48" s="62"/>
      <c r="D48" s="0" t="s">
        <v>223</v>
      </c>
    </row>
    <row r="49" customFormat="false" ht="15" hidden="false" customHeight="false" outlineLevel="0" collapsed="false">
      <c r="B49" s="66" t="s">
        <v>224</v>
      </c>
      <c r="C49" s="62"/>
      <c r="D49" s="0" t="s">
        <v>225</v>
      </c>
    </row>
    <row r="50" customFormat="false" ht="15" hidden="false" customHeight="false" outlineLevel="0" collapsed="false">
      <c r="B50" s="66" t="s">
        <v>226</v>
      </c>
      <c r="C50" s="62"/>
      <c r="D50" s="0" t="s">
        <v>227</v>
      </c>
    </row>
    <row r="51" customFormat="false" ht="15" hidden="false" customHeight="false" outlineLevel="0" collapsed="false">
      <c r="B51" s="61" t="s">
        <v>228</v>
      </c>
      <c r="C51" s="62"/>
      <c r="D51" s="0" t="s">
        <v>229</v>
      </c>
    </row>
    <row r="52" customFormat="false" ht="26.25" hidden="false" customHeight="false" outlineLevel="0" collapsed="false">
      <c r="B52" s="67" t="s">
        <v>230</v>
      </c>
      <c r="C52" s="62"/>
      <c r="D52" s="0" t="s">
        <v>231</v>
      </c>
    </row>
    <row r="53" customFormat="false" ht="15" hidden="false" customHeight="false" outlineLevel="0" collapsed="false">
      <c r="B53" s="61" t="s">
        <v>232</v>
      </c>
      <c r="C53" s="62"/>
      <c r="D53" s="0" t="s">
        <v>233</v>
      </c>
    </row>
    <row r="54" customFormat="false" ht="15" hidden="false" customHeight="false" outlineLevel="0" collapsed="false">
      <c r="B54" s="59" t="s">
        <v>234</v>
      </c>
      <c r="C54" s="64" t="n">
        <f aca="false">SUM(C45,C47:C53)</f>
        <v>0</v>
      </c>
      <c r="D54" s="0" t="s">
        <v>235</v>
      </c>
    </row>
    <row r="55" customFormat="false" ht="27" hidden="false" customHeight="false" outlineLevel="0" collapsed="false">
      <c r="B55" s="68" t="s">
        <v>236</v>
      </c>
      <c r="C55" s="69"/>
      <c r="D55" s="0" t="s">
        <v>237</v>
      </c>
    </row>
    <row r="56" customFormat="false" ht="15.75" hidden="false" customHeight="false" outlineLevel="0" collapsed="false">
      <c r="B56" s="56"/>
      <c r="C56" s="56"/>
      <c r="D56" s="56"/>
    </row>
    <row r="57" customFormat="false" ht="15" hidden="false" customHeight="false" outlineLevel="0" collapsed="false">
      <c r="B57" s="70" t="s">
        <v>238</v>
      </c>
      <c r="C57" s="71"/>
    </row>
    <row r="58" customFormat="false" ht="15" hidden="false" customHeight="false" outlineLevel="0" collapsed="false">
      <c r="B58" s="59" t="s">
        <v>148</v>
      </c>
      <c r="C58" s="60" t="s">
        <v>282</v>
      </c>
    </row>
    <row r="59" customFormat="false" ht="15" hidden="false" customHeight="false" outlineLevel="0" collapsed="false">
      <c r="B59" s="59" t="s">
        <v>239</v>
      </c>
      <c r="C59" s="72"/>
    </row>
    <row r="60" customFormat="false" ht="15" hidden="false" customHeight="false" outlineLevel="0" collapsed="false">
      <c r="B60" s="65" t="s">
        <v>220</v>
      </c>
      <c r="C60" s="62"/>
      <c r="D60" s="0" t="s">
        <v>240</v>
      </c>
    </row>
    <row r="61" customFormat="false" ht="15" hidden="false" customHeight="false" outlineLevel="0" collapsed="false">
      <c r="B61" s="65" t="s">
        <v>222</v>
      </c>
      <c r="C61" s="62"/>
      <c r="D61" s="0" t="s">
        <v>241</v>
      </c>
    </row>
    <row r="62" customFormat="false" ht="15" hidden="false" customHeight="false" outlineLevel="0" collapsed="false">
      <c r="B62" s="61" t="s">
        <v>228</v>
      </c>
      <c r="C62" s="62"/>
      <c r="D62" s="0" t="s">
        <v>242</v>
      </c>
    </row>
    <row r="63" customFormat="false" ht="15" hidden="false" customHeight="false" outlineLevel="0" collapsed="false">
      <c r="B63" s="61" t="s">
        <v>226</v>
      </c>
      <c r="C63" s="62"/>
      <c r="D63" s="0" t="s">
        <v>243</v>
      </c>
    </row>
    <row r="64" customFormat="false" ht="15" hidden="false" customHeight="false" outlineLevel="0" collapsed="false">
      <c r="B64" s="61" t="s">
        <v>244</v>
      </c>
      <c r="C64" s="62"/>
      <c r="D64" s="0" t="s">
        <v>245</v>
      </c>
    </row>
    <row r="65" customFormat="false" ht="15" hidden="false" customHeight="false" outlineLevel="0" collapsed="false">
      <c r="B65" s="59" t="s">
        <v>246</v>
      </c>
      <c r="C65" s="64" t="n">
        <f aca="false">SUM(C60:C64)</f>
        <v>0</v>
      </c>
      <c r="D65" s="0" t="s">
        <v>247</v>
      </c>
    </row>
    <row r="66" customFormat="false" ht="27" hidden="false" customHeight="false" outlineLevel="0" collapsed="false">
      <c r="B66" s="68" t="s">
        <v>236</v>
      </c>
      <c r="C66" s="69"/>
      <c r="D66" s="0" t="s">
        <v>248</v>
      </c>
    </row>
    <row r="67" customFormat="false" ht="15.75" hidden="false" customHeight="false" outlineLevel="0" collapsed="false">
      <c r="B67" s="56"/>
      <c r="C67" s="56"/>
    </row>
    <row r="68" customFormat="false" ht="15" hidden="false" customHeight="false" outlineLevel="0" collapsed="false">
      <c r="B68" s="57" t="s">
        <v>249</v>
      </c>
      <c r="C68" s="58"/>
    </row>
    <row r="69" customFormat="false" ht="15" hidden="false" customHeight="false" outlineLevel="0" collapsed="false">
      <c r="B69" s="59" t="s">
        <v>148</v>
      </c>
      <c r="C69" s="60" t="s">
        <v>282</v>
      </c>
    </row>
    <row r="70" customFormat="false" ht="15" hidden="false" customHeight="false" outlineLevel="0" collapsed="false">
      <c r="B70" s="61" t="s">
        <v>250</v>
      </c>
      <c r="C70" s="62"/>
      <c r="D70" s="0" t="s">
        <v>251</v>
      </c>
    </row>
    <row r="71" customFormat="false" ht="15" hidden="false" customHeight="false" outlineLevel="0" collapsed="false">
      <c r="B71" s="61" t="s">
        <v>252</v>
      </c>
      <c r="C71" s="62"/>
      <c r="D71" s="0" t="s">
        <v>253</v>
      </c>
    </row>
    <row r="72" customFormat="false" ht="15" hidden="false" customHeight="false" outlineLevel="0" collapsed="false">
      <c r="B72" s="61" t="s">
        <v>254</v>
      </c>
      <c r="C72" s="62"/>
      <c r="D72" s="0" t="s">
        <v>255</v>
      </c>
    </row>
    <row r="73" customFormat="false" ht="15" hidden="false" customHeight="false" outlineLevel="0" collapsed="false">
      <c r="B73" s="61" t="s">
        <v>244</v>
      </c>
      <c r="C73" s="62"/>
      <c r="D73" s="0" t="s">
        <v>256</v>
      </c>
    </row>
    <row r="74" customFormat="false" ht="15" hidden="false" customHeight="false" outlineLevel="0" collapsed="false">
      <c r="B74" s="59" t="s">
        <v>257</v>
      </c>
      <c r="C74" s="64" t="n">
        <f aca="false">SUM(C70:C73)</f>
        <v>0</v>
      </c>
      <c r="D74" s="0" t="s">
        <v>258</v>
      </c>
    </row>
    <row r="75" customFormat="false" ht="26.25" hidden="false" customHeight="false" outlineLevel="0" collapsed="false">
      <c r="B75" s="73" t="s">
        <v>259</v>
      </c>
      <c r="C75" s="64"/>
    </row>
    <row r="76" customFormat="false" ht="15" hidden="false" customHeight="false" outlineLevel="0" collapsed="false">
      <c r="B76" s="65" t="s">
        <v>260</v>
      </c>
      <c r="C76" s="62"/>
      <c r="D76" s="0" t="s">
        <v>261</v>
      </c>
    </row>
    <row r="77" customFormat="false" ht="15" hidden="false" customHeight="false" outlineLevel="0" collapsed="false">
      <c r="B77" s="65" t="s">
        <v>262</v>
      </c>
      <c r="C77" s="62"/>
      <c r="D77" s="0" t="s">
        <v>263</v>
      </c>
    </row>
    <row r="78" customFormat="false" ht="26.25" hidden="false" customHeight="false" outlineLevel="0" collapsed="false">
      <c r="B78" s="74" t="s">
        <v>264</v>
      </c>
      <c r="C78" s="64" t="n">
        <f aca="false">SUM(C74-(C76+C77))</f>
        <v>0</v>
      </c>
      <c r="D78" s="0" t="s">
        <v>265</v>
      </c>
    </row>
    <row r="79" customFormat="false" ht="39.75" hidden="false" customHeight="false" outlineLevel="0" collapsed="false">
      <c r="B79" s="68" t="s">
        <v>266</v>
      </c>
      <c r="C79" s="69"/>
      <c r="D79" s="0" t="s">
        <v>267</v>
      </c>
    </row>
    <row r="80" customFormat="false" ht="15.75" hidden="false" customHeight="false" outlineLevel="0" collapsed="false"/>
    <row r="81" customFormat="false" ht="15" hidden="false" customHeight="false" outlineLevel="0" collapsed="false">
      <c r="B81" s="75" t="s">
        <v>268</v>
      </c>
      <c r="C81" s="76"/>
    </row>
    <row r="82" customFormat="false" ht="15" hidden="false" customHeight="false" outlineLevel="0" collapsed="false">
      <c r="B82" s="59" t="s">
        <v>148</v>
      </c>
      <c r="C82" s="60" t="s">
        <v>282</v>
      </c>
    </row>
    <row r="83" customFormat="false" ht="15" hidden="false" customHeight="false" outlineLevel="0" collapsed="false">
      <c r="B83" s="61" t="s">
        <v>250</v>
      </c>
      <c r="C83" s="62"/>
      <c r="D83" s="0" t="s">
        <v>269</v>
      </c>
    </row>
    <row r="84" customFormat="false" ht="15" hidden="false" customHeight="false" outlineLevel="0" collapsed="false">
      <c r="B84" s="61" t="s">
        <v>252</v>
      </c>
      <c r="C84" s="62"/>
      <c r="D84" s="0" t="s">
        <v>270</v>
      </c>
    </row>
    <row r="85" customFormat="false" ht="15" hidden="false" customHeight="false" outlineLevel="0" collapsed="false">
      <c r="B85" s="61" t="s">
        <v>271</v>
      </c>
      <c r="C85" s="62"/>
      <c r="D85" s="0" t="s">
        <v>272</v>
      </c>
    </row>
    <row r="86" customFormat="false" ht="15" hidden="false" customHeight="false" outlineLevel="0" collapsed="false">
      <c r="B86" s="61" t="s">
        <v>244</v>
      </c>
      <c r="C86" s="62"/>
      <c r="D86" s="0" t="s">
        <v>273</v>
      </c>
    </row>
    <row r="87" customFormat="false" ht="15" hidden="false" customHeight="false" outlineLevel="0" collapsed="false">
      <c r="B87" s="59" t="s">
        <v>257</v>
      </c>
      <c r="C87" s="64" t="n">
        <f aca="false">SUM(C83:C86)</f>
        <v>0</v>
      </c>
      <c r="D87" s="0" t="s">
        <v>274</v>
      </c>
    </row>
    <row r="88" customFormat="false" ht="26.25" hidden="false" customHeight="false" outlineLevel="0" collapsed="false">
      <c r="B88" s="73" t="s">
        <v>259</v>
      </c>
      <c r="C88" s="64"/>
    </row>
    <row r="89" customFormat="false" ht="15" hidden="false" customHeight="false" outlineLevel="0" collapsed="false">
      <c r="B89" s="65" t="s">
        <v>260</v>
      </c>
      <c r="C89" s="62"/>
      <c r="D89" s="0" t="s">
        <v>275</v>
      </c>
    </row>
    <row r="90" customFormat="false" ht="15" hidden="false" customHeight="false" outlineLevel="0" collapsed="false">
      <c r="B90" s="65" t="s">
        <v>262</v>
      </c>
      <c r="C90" s="62"/>
      <c r="D90" s="0" t="s">
        <v>276</v>
      </c>
    </row>
    <row r="91" customFormat="false" ht="15" hidden="false" customHeight="false" outlineLevel="0" collapsed="false">
      <c r="B91" s="59" t="s">
        <v>277</v>
      </c>
      <c r="C91" s="64" t="n">
        <f aca="false">SUM(C87-(C89+C90))</f>
        <v>0</v>
      </c>
      <c r="D91" s="0" t="s">
        <v>278</v>
      </c>
    </row>
    <row r="92" customFormat="false" ht="39.75" hidden="false" customHeight="false" outlineLevel="0" collapsed="false">
      <c r="B92" s="68" t="s">
        <v>266</v>
      </c>
      <c r="C92" s="69"/>
      <c r="D92" s="0" t="s">
        <v>279</v>
      </c>
    </row>
  </sheetData>
  <sheetProtection sheet="true" password="f99e"/>
  <mergeCells count="2">
    <mergeCell ref="A2:C2"/>
    <mergeCell ref="A41:C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13" activeCellId="0" sqref="C13"/>
    </sheetView>
  </sheetViews>
  <sheetFormatPr defaultColWidth="8.964843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28.56"/>
    <col collapsed="false" customWidth="true" hidden="false" outlineLevel="0" max="3" min="3" style="1" width="21.13"/>
    <col collapsed="false" customWidth="true" hidden="true" outlineLevel="0" max="4" min="4" style="0" width="21.13"/>
    <col collapsed="false" customWidth="true" hidden="false" outlineLevel="0" max="5" min="5" style="1" width="17.42"/>
    <col collapsed="false" customWidth="true" hidden="true" outlineLevel="0" max="6" min="6" style="0" width="17.42"/>
    <col collapsed="false" customWidth="true" hidden="false" outlineLevel="0" max="7" min="7" style="1" width="21.13"/>
    <col collapsed="false" customWidth="true" hidden="true" outlineLevel="0" max="8" min="8" style="0" width="21.13"/>
    <col collapsed="false" customWidth="true" hidden="false" outlineLevel="0" max="9" min="9" style="1" width="17.42"/>
    <col collapsed="false" customWidth="false" hidden="true" outlineLevel="0" max="10" min="10" style="0" width="8.96"/>
  </cols>
  <sheetData>
    <row r="1" customFormat="false" ht="15.75" hidden="tru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  <row r="2" customFormat="false" ht="15.75" hidden="false" customHeight="true" outlineLevel="0" collapsed="false">
      <c r="A2" s="79"/>
      <c r="B2" s="80" t="s">
        <v>289</v>
      </c>
      <c r="C2" s="80"/>
      <c r="D2" s="80"/>
      <c r="E2" s="80"/>
      <c r="F2" s="80"/>
      <c r="G2" s="80"/>
      <c r="H2" s="80"/>
      <c r="I2" s="80"/>
    </row>
    <row r="3" customFormat="false" ht="15" hidden="false" customHeight="true" outlineLevel="0" collapsed="false">
      <c r="B3" s="81"/>
      <c r="C3" s="82" t="s">
        <v>216</v>
      </c>
      <c r="D3" s="82"/>
      <c r="E3" s="82"/>
      <c r="F3" s="82"/>
      <c r="G3" s="83" t="s">
        <v>282</v>
      </c>
      <c r="H3" s="83"/>
      <c r="I3" s="83"/>
    </row>
    <row r="4" customFormat="false" ht="15" hidden="false" customHeight="false" outlineLevel="0" collapsed="false">
      <c r="B4" s="84" t="s">
        <v>148</v>
      </c>
      <c r="C4" s="85" t="s">
        <v>290</v>
      </c>
      <c r="D4" s="86"/>
      <c r="E4" s="85" t="s">
        <v>291</v>
      </c>
      <c r="F4" s="86"/>
      <c r="G4" s="85" t="s">
        <v>290</v>
      </c>
      <c r="H4" s="87"/>
      <c r="I4" s="88" t="s">
        <v>291</v>
      </c>
    </row>
    <row r="5" customFormat="false" ht="15" hidden="false" customHeight="false" outlineLevel="0" collapsed="false">
      <c r="B5" s="89" t="s">
        <v>292</v>
      </c>
      <c r="C5" s="90"/>
      <c r="D5" s="91" t="s">
        <v>293</v>
      </c>
      <c r="E5" s="90"/>
      <c r="F5" s="91" t="s">
        <v>294</v>
      </c>
      <c r="G5" s="90"/>
      <c r="H5" s="91" t="s">
        <v>293</v>
      </c>
      <c r="I5" s="92"/>
      <c r="J5" s="91" t="s">
        <v>294</v>
      </c>
    </row>
    <row r="6" customFormat="false" ht="15" hidden="false" customHeight="false" outlineLevel="0" collapsed="false">
      <c r="B6" s="89" t="s">
        <v>295</v>
      </c>
      <c r="C6" s="90"/>
      <c r="D6" s="91" t="s">
        <v>296</v>
      </c>
      <c r="E6" s="90"/>
      <c r="F6" s="91" t="s">
        <v>297</v>
      </c>
      <c r="G6" s="90"/>
      <c r="H6" s="91" t="s">
        <v>296</v>
      </c>
      <c r="I6" s="92"/>
      <c r="J6" s="91" t="s">
        <v>297</v>
      </c>
    </row>
    <row r="7" customFormat="false" ht="15" hidden="false" customHeight="false" outlineLevel="0" collapsed="false">
      <c r="B7" s="89" t="s">
        <v>298</v>
      </c>
      <c r="C7" s="90"/>
      <c r="D7" s="91" t="s">
        <v>299</v>
      </c>
      <c r="E7" s="90"/>
      <c r="F7" s="91" t="s">
        <v>300</v>
      </c>
      <c r="G7" s="90"/>
      <c r="H7" s="91" t="s">
        <v>299</v>
      </c>
      <c r="I7" s="92"/>
      <c r="J7" s="91" t="s">
        <v>300</v>
      </c>
    </row>
    <row r="8" customFormat="false" ht="15" hidden="false" customHeight="false" outlineLevel="0" collapsed="false">
      <c r="B8" s="93" t="s">
        <v>301</v>
      </c>
      <c r="C8" s="94" t="n">
        <f aca="false">SUM(C5:C7)</f>
        <v>0</v>
      </c>
      <c r="D8" s="95" t="s">
        <v>302</v>
      </c>
      <c r="E8" s="94" t="n">
        <f aca="false">SUM(E5:E7)</f>
        <v>0</v>
      </c>
      <c r="F8" s="95" t="s">
        <v>303</v>
      </c>
      <c r="G8" s="94" t="n">
        <f aca="false">SUM(G5:G7)</f>
        <v>0</v>
      </c>
      <c r="H8" s="96" t="s">
        <v>302</v>
      </c>
      <c r="I8" s="94" t="n">
        <f aca="false">SUM(I5:I7)</f>
        <v>0</v>
      </c>
      <c r="J8" s="0" t="s">
        <v>303</v>
      </c>
      <c r="K8" s="42"/>
    </row>
    <row r="9" customFormat="false" ht="42.75" hidden="false" customHeight="true" outlineLevel="0" collapsed="false">
      <c r="B9" s="97" t="s">
        <v>304</v>
      </c>
      <c r="C9" s="90"/>
      <c r="D9" s="0" t="s">
        <v>305</v>
      </c>
      <c r="E9" s="90"/>
      <c r="F9" s="0" t="s">
        <v>306</v>
      </c>
      <c r="G9" s="90"/>
      <c r="H9" s="0" t="s">
        <v>305</v>
      </c>
      <c r="I9" s="92"/>
      <c r="J9" s="0" t="s">
        <v>306</v>
      </c>
    </row>
    <row r="10" customFormat="false" ht="15" hidden="false" customHeight="false" outlineLevel="0" collapsed="false">
      <c r="B10" s="93" t="s">
        <v>307</v>
      </c>
      <c r="C10" s="98" t="n">
        <f aca="false">SUM(C8-C9)</f>
        <v>0</v>
      </c>
      <c r="D10" s="95" t="s">
        <v>308</v>
      </c>
      <c r="E10" s="94" t="n">
        <f aca="false">SUM(E8-E9)</f>
        <v>0</v>
      </c>
      <c r="F10" s="95" t="s">
        <v>309</v>
      </c>
      <c r="G10" s="94" t="n">
        <f aca="false">SUM(G8-G9)</f>
        <v>0</v>
      </c>
      <c r="H10" s="96" t="s">
        <v>308</v>
      </c>
      <c r="I10" s="94" t="n">
        <f aca="false">SUM(I8-I9)</f>
        <v>0</v>
      </c>
      <c r="J10" s="0" t="s">
        <v>309</v>
      </c>
      <c r="K10" s="42"/>
    </row>
    <row r="11" customFormat="false" ht="69" hidden="false" customHeight="true" outlineLevel="0" collapsed="false">
      <c r="A11" s="99"/>
      <c r="B11" s="100" t="s">
        <v>310</v>
      </c>
      <c r="C11" s="101"/>
      <c r="D11" s="102" t="s">
        <v>311</v>
      </c>
      <c r="E11" s="101"/>
      <c r="F11" s="102" t="s">
        <v>312</v>
      </c>
      <c r="G11" s="101"/>
      <c r="H11" s="103" t="s">
        <v>311</v>
      </c>
      <c r="I11" s="104"/>
      <c r="J11" s="0" t="s">
        <v>312</v>
      </c>
    </row>
    <row r="12" customFormat="false" ht="15" hidden="false" customHeight="false" outlineLevel="0" collapsed="false">
      <c r="A12" s="105"/>
    </row>
    <row r="15" customFormat="false" ht="15" hidden="false" customHeight="false" outlineLevel="0" collapsed="false">
      <c r="C15" s="106"/>
    </row>
  </sheetData>
  <sheetProtection sheet="true" password="f99e"/>
  <mergeCells count="3">
    <mergeCell ref="B2:I2"/>
    <mergeCell ref="C3:E3"/>
    <mergeCell ref="G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G8" activeCellId="0" sqref="G8"/>
    </sheetView>
  </sheetViews>
  <sheetFormatPr defaultColWidth="8.96484375" defaultRowHeight="15" zeroHeight="false" outlineLevelRow="0" outlineLevelCol="0"/>
  <cols>
    <col collapsed="false" customWidth="true" hidden="false" outlineLevel="0" max="2" min="2" style="0" width="89.7"/>
    <col collapsed="false" customWidth="true" hidden="false" outlineLevel="0" max="3" min="3" style="0" width="18.99"/>
    <col collapsed="false" customWidth="true" hidden="true" outlineLevel="0" max="4" min="4" style="0" width="15.56"/>
    <col collapsed="false" customWidth="true" hidden="false" outlineLevel="0" max="5" min="5" style="107" width="9.41"/>
    <col collapsed="false" customWidth="true" hidden="true" outlineLevel="0" max="6" min="6" style="0" width="9.14"/>
  </cols>
  <sheetData>
    <row r="1" customFormat="false" ht="15" hidden="tru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07" t="s">
        <v>283</v>
      </c>
      <c r="F1" s="0" t="s">
        <v>284</v>
      </c>
      <c r="G1" s="0" t="s">
        <v>285</v>
      </c>
    </row>
    <row r="2" customFormat="false" ht="28.5" hidden="false" customHeight="true" outlineLevel="0" collapsed="false">
      <c r="A2" s="108"/>
      <c r="B2" s="109" t="s">
        <v>313</v>
      </c>
      <c r="C2" s="110" t="s">
        <v>314</v>
      </c>
    </row>
    <row r="3" customFormat="false" ht="15" hidden="false" customHeight="false" outlineLevel="0" collapsed="false">
      <c r="A3" s="111"/>
      <c r="B3" s="111" t="s">
        <v>315</v>
      </c>
      <c r="C3" s="112"/>
      <c r="D3" s="0" t="s">
        <v>316</v>
      </c>
      <c r="E3" s="113" t="n">
        <v>1</v>
      </c>
    </row>
    <row r="4" customFormat="false" ht="15" hidden="false" customHeight="false" outlineLevel="0" collapsed="false">
      <c r="A4" s="111"/>
      <c r="B4" s="111" t="s">
        <v>317</v>
      </c>
      <c r="C4" s="112"/>
      <c r="D4" s="0" t="s">
        <v>318</v>
      </c>
      <c r="E4" s="113" t="n">
        <v>1</v>
      </c>
    </row>
    <row r="5" customFormat="false" ht="15" hidden="false" customHeight="false" outlineLevel="0" collapsed="false">
      <c r="A5" s="111"/>
      <c r="B5" s="111" t="s">
        <v>319</v>
      </c>
      <c r="C5" s="112"/>
      <c r="D5" s="0" t="s">
        <v>320</v>
      </c>
      <c r="E5" s="113" t="n">
        <v>1</v>
      </c>
    </row>
    <row r="6" customFormat="false" ht="15" hidden="false" customHeight="false" outlineLevel="0" collapsed="false">
      <c r="A6" s="111"/>
      <c r="B6" s="111" t="s">
        <v>321</v>
      </c>
      <c r="C6" s="112"/>
      <c r="D6" s="0" t="s">
        <v>322</v>
      </c>
      <c r="E6" s="113" t="n">
        <v>1</v>
      </c>
    </row>
    <row r="7" customFormat="false" ht="15" hidden="false" customHeight="false" outlineLevel="0" collapsed="false">
      <c r="A7" s="111"/>
      <c r="B7" s="111" t="s">
        <v>323</v>
      </c>
      <c r="C7" s="112"/>
      <c r="D7" s="0" t="s">
        <v>324</v>
      </c>
      <c r="E7" s="113" t="n">
        <v>1</v>
      </c>
    </row>
    <row r="8" customFormat="false" ht="15" hidden="false" customHeight="false" outlineLevel="0" collapsed="false">
      <c r="A8" s="111"/>
      <c r="B8" s="111" t="s">
        <v>325</v>
      </c>
      <c r="C8" s="112"/>
      <c r="D8" s="0" t="s">
        <v>326</v>
      </c>
      <c r="E8" s="113" t="n">
        <v>1</v>
      </c>
    </row>
    <row r="9" customFormat="false" ht="15" hidden="false" customHeight="false" outlineLevel="0" collapsed="false">
      <c r="A9" s="111"/>
      <c r="B9" s="111" t="s">
        <v>327</v>
      </c>
      <c r="C9" s="112"/>
      <c r="D9" s="0" t="s">
        <v>328</v>
      </c>
      <c r="E9" s="113" t="n">
        <v>1</v>
      </c>
    </row>
    <row r="10" customFormat="false" ht="15" hidden="false" customHeight="false" outlineLevel="0" collapsed="false">
      <c r="A10" s="111"/>
      <c r="B10" s="111" t="s">
        <v>329</v>
      </c>
      <c r="C10" s="112"/>
      <c r="D10" s="0" t="s">
        <v>330</v>
      </c>
      <c r="E10" s="113" t="n">
        <v>1</v>
      </c>
    </row>
    <row r="11" customFormat="false" ht="15" hidden="false" customHeight="false" outlineLevel="0" collapsed="false">
      <c r="A11" s="111"/>
      <c r="B11" s="111" t="s">
        <v>331</v>
      </c>
      <c r="C11" s="112"/>
      <c r="D11" s="0" t="s">
        <v>332</v>
      </c>
      <c r="E11" s="113" t="n">
        <v>1</v>
      </c>
    </row>
    <row r="12" customFormat="false" ht="15.75" hidden="false" customHeight="false" outlineLevel="0" collapsed="false">
      <c r="A12" s="114"/>
      <c r="B12" s="114" t="s">
        <v>333</v>
      </c>
      <c r="C12" s="115"/>
      <c r="D12" s="0" t="s">
        <v>334</v>
      </c>
      <c r="E12" s="0"/>
    </row>
    <row r="13" customFormat="false" ht="15" hidden="false" customHeight="false" outlineLevel="0" collapsed="false">
      <c r="A13" s="116"/>
      <c r="B13" s="117"/>
      <c r="C13" s="118"/>
      <c r="E13" s="113" t="n">
        <v>1</v>
      </c>
    </row>
    <row r="14" customFormat="false" ht="15.75" hidden="false" customHeight="false" outlineLevel="0" collapsed="false">
      <c r="A14" s="116"/>
      <c r="B14" s="117"/>
      <c r="C14" s="119"/>
      <c r="E14" s="113" t="n">
        <v>1</v>
      </c>
    </row>
    <row r="15" customFormat="false" ht="34.5" hidden="false" customHeight="true" outlineLevel="0" collapsed="false">
      <c r="A15" s="109"/>
      <c r="B15" s="109" t="s">
        <v>335</v>
      </c>
      <c r="C15" s="110" t="s">
        <v>314</v>
      </c>
      <c r="E15" s="113" t="n">
        <v>1</v>
      </c>
    </row>
    <row r="16" customFormat="false" ht="15" hidden="false" customHeight="false" outlineLevel="0" collapsed="false">
      <c r="A16" s="120" t="n">
        <v>1</v>
      </c>
      <c r="B16" s="121" t="s">
        <v>336</v>
      </c>
      <c r="C16" s="122"/>
      <c r="D16" s="54" t="s">
        <v>337</v>
      </c>
      <c r="E16" s="113" t="n">
        <v>1</v>
      </c>
    </row>
    <row r="17" customFormat="false" ht="15" hidden="false" customHeight="false" outlineLevel="0" collapsed="false">
      <c r="A17" s="123" t="n">
        <v>2</v>
      </c>
      <c r="B17" s="124" t="s">
        <v>338</v>
      </c>
      <c r="C17" s="125"/>
      <c r="D17" s="0" t="s">
        <v>339</v>
      </c>
      <c r="E17" s="113" t="n">
        <v>1</v>
      </c>
    </row>
    <row r="18" customFormat="false" ht="15" hidden="false" customHeight="false" outlineLevel="0" collapsed="false">
      <c r="A18" s="123" t="n">
        <v>3</v>
      </c>
      <c r="B18" s="124" t="s">
        <v>340</v>
      </c>
      <c r="C18" s="125"/>
      <c r="D18" s="0" t="s">
        <v>341</v>
      </c>
      <c r="E18" s="113" t="n">
        <v>1</v>
      </c>
    </row>
    <row r="19" customFormat="false" ht="15.75" hidden="false" customHeight="false" outlineLevel="0" collapsed="false">
      <c r="A19" s="123" t="n">
        <v>4</v>
      </c>
      <c r="B19" s="124" t="s">
        <v>342</v>
      </c>
      <c r="C19" s="125"/>
      <c r="D19" s="0" t="s">
        <v>343</v>
      </c>
      <c r="E19" s="113" t="n">
        <v>1</v>
      </c>
    </row>
    <row r="20" customFormat="false" ht="15.75" hidden="false" customHeight="false" outlineLevel="0" collapsed="false">
      <c r="A20" s="123" t="n">
        <v>5</v>
      </c>
      <c r="B20" s="124" t="s">
        <v>344</v>
      </c>
      <c r="C20" s="125"/>
      <c r="D20" s="0" t="s">
        <v>345</v>
      </c>
      <c r="E20" s="126"/>
      <c r="F20" s="0" t="s">
        <v>346</v>
      </c>
      <c r="G20" s="0" t="s">
        <v>347</v>
      </c>
    </row>
    <row r="21" customFormat="false" ht="15.75" hidden="false" customHeight="false" outlineLevel="0" collapsed="false">
      <c r="A21" s="123" t="n">
        <v>6</v>
      </c>
      <c r="B21" s="124" t="s">
        <v>348</v>
      </c>
      <c r="C21" s="125"/>
      <c r="D21" s="0" t="s">
        <v>349</v>
      </c>
      <c r="E21" s="126"/>
      <c r="F21" s="0" t="s">
        <v>350</v>
      </c>
      <c r="G21" s="0" t="s">
        <v>347</v>
      </c>
    </row>
    <row r="22" customFormat="false" ht="15" hidden="false" customHeight="false" outlineLevel="0" collapsed="false">
      <c r="A22" s="123" t="n">
        <v>7</v>
      </c>
      <c r="B22" s="124" t="s">
        <v>351</v>
      </c>
      <c r="C22" s="125"/>
      <c r="D22" s="0" t="s">
        <v>352</v>
      </c>
      <c r="E22" s="113" t="n">
        <v>1</v>
      </c>
    </row>
    <row r="23" customFormat="false" ht="15" hidden="false" customHeight="false" outlineLevel="0" collapsed="false">
      <c r="A23" s="123" t="n">
        <v>8</v>
      </c>
      <c r="B23" s="124" t="s">
        <v>353</v>
      </c>
      <c r="C23" s="125"/>
      <c r="D23" s="0" t="s">
        <v>354</v>
      </c>
      <c r="E23" s="113" t="n">
        <v>1</v>
      </c>
    </row>
    <row r="24" customFormat="false" ht="15" hidden="false" customHeight="false" outlineLevel="0" collapsed="false">
      <c r="A24" s="123" t="n">
        <v>9</v>
      </c>
      <c r="B24" s="124" t="s">
        <v>355</v>
      </c>
      <c r="C24" s="125"/>
      <c r="D24" s="0" t="s">
        <v>356</v>
      </c>
      <c r="E24" s="113" t="n">
        <v>1</v>
      </c>
    </row>
    <row r="25" customFormat="false" ht="15" hidden="false" customHeight="false" outlineLevel="0" collapsed="false">
      <c r="A25" s="123" t="n">
        <v>10</v>
      </c>
      <c r="B25" s="124" t="s">
        <v>357</v>
      </c>
      <c r="C25" s="125"/>
      <c r="D25" s="0" t="s">
        <v>358</v>
      </c>
      <c r="E25" s="113" t="n">
        <v>1</v>
      </c>
    </row>
    <row r="26" customFormat="false" ht="15" hidden="false" customHeight="false" outlineLevel="0" collapsed="false">
      <c r="A26" s="123" t="n">
        <v>11</v>
      </c>
      <c r="B26" s="124" t="s">
        <v>359</v>
      </c>
      <c r="C26" s="125"/>
      <c r="D26" s="0" t="s">
        <v>360</v>
      </c>
      <c r="E26" s="113" t="n">
        <v>1</v>
      </c>
    </row>
    <row r="27" customFormat="false" ht="15" hidden="false" customHeight="false" outlineLevel="0" collapsed="false">
      <c r="A27" s="123" t="n">
        <v>12</v>
      </c>
      <c r="B27" s="124" t="s">
        <v>361</v>
      </c>
      <c r="C27" s="125"/>
      <c r="D27" s="0" t="s">
        <v>362</v>
      </c>
      <c r="E27" s="113" t="n">
        <v>1</v>
      </c>
    </row>
    <row r="28" customFormat="false" ht="15" hidden="false" customHeight="false" outlineLevel="0" collapsed="false">
      <c r="A28" s="123" t="n">
        <v>13</v>
      </c>
      <c r="B28" s="124" t="s">
        <v>363</v>
      </c>
      <c r="C28" s="125"/>
      <c r="D28" s="0" t="s">
        <v>364</v>
      </c>
      <c r="E28" s="113" t="n">
        <v>1</v>
      </c>
    </row>
    <row r="29" customFormat="false" ht="15" hidden="false" customHeight="false" outlineLevel="0" collapsed="false">
      <c r="A29" s="123" t="n">
        <v>14</v>
      </c>
      <c r="B29" s="124" t="s">
        <v>365</v>
      </c>
      <c r="C29" s="125"/>
      <c r="D29" s="0" t="s">
        <v>366</v>
      </c>
      <c r="E29" s="113" t="n">
        <v>1</v>
      </c>
    </row>
    <row r="30" customFormat="false" ht="15" hidden="false" customHeight="false" outlineLevel="0" collapsed="false">
      <c r="A30" s="123" t="n">
        <v>15</v>
      </c>
      <c r="B30" s="124" t="s">
        <v>367</v>
      </c>
      <c r="C30" s="125"/>
      <c r="D30" s="0" t="s">
        <v>368</v>
      </c>
      <c r="E30" s="113" t="n">
        <v>1</v>
      </c>
    </row>
    <row r="31" customFormat="false" ht="15" hidden="false" customHeight="false" outlineLevel="0" collapsed="false">
      <c r="A31" s="123" t="n">
        <v>16</v>
      </c>
      <c r="B31" s="124" t="s">
        <v>369</v>
      </c>
      <c r="C31" s="125"/>
      <c r="D31" s="0" t="s">
        <v>370</v>
      </c>
      <c r="E31" s="113" t="n">
        <v>1</v>
      </c>
    </row>
    <row r="32" customFormat="false" ht="15" hidden="false" customHeight="false" outlineLevel="0" collapsed="false">
      <c r="A32" s="123" t="n">
        <v>17</v>
      </c>
      <c r="B32" s="124" t="s">
        <v>371</v>
      </c>
      <c r="C32" s="125"/>
      <c r="D32" s="0" t="s">
        <v>372</v>
      </c>
      <c r="E32" s="113" t="n">
        <v>1</v>
      </c>
    </row>
    <row r="33" customFormat="false" ht="15" hidden="false" customHeight="false" outlineLevel="0" collapsed="false">
      <c r="A33" s="123" t="n">
        <v>18</v>
      </c>
      <c r="B33" s="124" t="s">
        <v>373</v>
      </c>
      <c r="C33" s="125"/>
      <c r="D33" s="0" t="s">
        <v>374</v>
      </c>
      <c r="E33" s="113" t="n">
        <v>1</v>
      </c>
    </row>
    <row r="34" customFormat="false" ht="15" hidden="false" customHeight="false" outlineLevel="0" collapsed="false">
      <c r="A34" s="123" t="n">
        <v>19</v>
      </c>
      <c r="B34" s="124" t="s">
        <v>375</v>
      </c>
      <c r="C34" s="125"/>
      <c r="D34" s="0" t="s">
        <v>376</v>
      </c>
      <c r="E34" s="113" t="n">
        <v>1</v>
      </c>
    </row>
    <row r="35" customFormat="false" ht="15" hidden="false" customHeight="false" outlineLevel="0" collapsed="false">
      <c r="A35" s="123" t="n">
        <v>20</v>
      </c>
      <c r="B35" s="124" t="s">
        <v>377</v>
      </c>
      <c r="C35" s="125"/>
      <c r="D35" s="0" t="s">
        <v>378</v>
      </c>
      <c r="E35" s="113" t="n">
        <v>1</v>
      </c>
    </row>
    <row r="36" customFormat="false" ht="15" hidden="false" customHeight="false" outlineLevel="0" collapsed="false">
      <c r="A36" s="123" t="n">
        <v>21</v>
      </c>
      <c r="B36" s="124" t="s">
        <v>379</v>
      </c>
      <c r="C36" s="125"/>
      <c r="D36" s="0" t="s">
        <v>380</v>
      </c>
      <c r="E36" s="113" t="n">
        <v>1</v>
      </c>
    </row>
    <row r="37" customFormat="false" ht="15" hidden="false" customHeight="false" outlineLevel="0" collapsed="false">
      <c r="A37" s="123" t="n">
        <v>22</v>
      </c>
      <c r="B37" s="124" t="s">
        <v>381</v>
      </c>
      <c r="C37" s="125"/>
      <c r="D37" s="0" t="s">
        <v>382</v>
      </c>
      <c r="E37" s="113" t="n">
        <v>1</v>
      </c>
    </row>
    <row r="38" customFormat="false" ht="15" hidden="false" customHeight="false" outlineLevel="0" collapsed="false">
      <c r="A38" s="123" t="n">
        <v>23</v>
      </c>
      <c r="B38" s="124" t="s">
        <v>383</v>
      </c>
      <c r="C38" s="125"/>
      <c r="D38" s="0" t="s">
        <v>384</v>
      </c>
      <c r="E38" s="113" t="n">
        <v>1</v>
      </c>
    </row>
    <row r="39" customFormat="false" ht="15" hidden="false" customHeight="false" outlineLevel="0" collapsed="false">
      <c r="A39" s="123" t="n">
        <v>24</v>
      </c>
      <c r="B39" s="124" t="s">
        <v>385</v>
      </c>
      <c r="C39" s="125"/>
      <c r="D39" s="0" t="s">
        <v>386</v>
      </c>
      <c r="E39" s="113" t="n">
        <v>1</v>
      </c>
    </row>
    <row r="40" customFormat="false" ht="15" hidden="false" customHeight="false" outlineLevel="0" collapsed="false">
      <c r="A40" s="123" t="n">
        <v>25</v>
      </c>
      <c r="B40" s="124" t="s">
        <v>387</v>
      </c>
      <c r="C40" s="125"/>
      <c r="D40" s="0" t="s">
        <v>388</v>
      </c>
      <c r="E40" s="113" t="n">
        <v>1</v>
      </c>
    </row>
    <row r="41" customFormat="false" ht="15" hidden="false" customHeight="false" outlineLevel="0" collapsed="false">
      <c r="A41" s="123" t="n">
        <v>26</v>
      </c>
      <c r="B41" s="124" t="s">
        <v>389</v>
      </c>
      <c r="C41" s="125"/>
      <c r="D41" s="0" t="s">
        <v>390</v>
      </c>
      <c r="E41" s="113" t="n">
        <v>1</v>
      </c>
    </row>
    <row r="42" customFormat="false" ht="15" hidden="false" customHeight="false" outlineLevel="0" collapsed="false">
      <c r="A42" s="123" t="n">
        <v>27</v>
      </c>
      <c r="B42" s="124" t="s">
        <v>391</v>
      </c>
      <c r="C42" s="125"/>
      <c r="D42" s="0" t="s">
        <v>392</v>
      </c>
      <c r="E42" s="113" t="n">
        <v>1</v>
      </c>
    </row>
    <row r="43" customFormat="false" ht="15" hidden="false" customHeight="false" outlineLevel="0" collapsed="false">
      <c r="A43" s="123" t="n">
        <v>28</v>
      </c>
      <c r="B43" s="124" t="s">
        <v>393</v>
      </c>
      <c r="C43" s="125"/>
      <c r="D43" s="0" t="s">
        <v>394</v>
      </c>
      <c r="E43" s="113" t="n">
        <v>1</v>
      </c>
    </row>
    <row r="44" customFormat="false" ht="15" hidden="false" customHeight="false" outlineLevel="0" collapsed="false">
      <c r="A44" s="123" t="n">
        <v>29</v>
      </c>
      <c r="B44" s="124" t="s">
        <v>395</v>
      </c>
      <c r="C44" s="125"/>
      <c r="D44" s="0" t="s">
        <v>396</v>
      </c>
      <c r="E44" s="113" t="n">
        <v>1</v>
      </c>
    </row>
    <row r="45" customFormat="false" ht="15" hidden="false" customHeight="false" outlineLevel="0" collapsed="false">
      <c r="A45" s="123" t="n">
        <v>30</v>
      </c>
      <c r="B45" s="124" t="s">
        <v>397</v>
      </c>
      <c r="C45" s="125"/>
      <c r="D45" s="0" t="s">
        <v>398</v>
      </c>
      <c r="E45" s="113" t="n">
        <v>1</v>
      </c>
    </row>
    <row r="46" customFormat="false" ht="15" hidden="false" customHeight="false" outlineLevel="0" collapsed="false">
      <c r="A46" s="123" t="n">
        <v>31</v>
      </c>
      <c r="B46" s="124" t="s">
        <v>399</v>
      </c>
      <c r="C46" s="125"/>
      <c r="D46" s="0" t="s">
        <v>400</v>
      </c>
      <c r="E46" s="113" t="n">
        <v>1</v>
      </c>
    </row>
    <row r="47" customFormat="false" ht="15" hidden="false" customHeight="false" outlineLevel="0" collapsed="false">
      <c r="A47" s="123" t="n">
        <v>32</v>
      </c>
      <c r="B47" s="124" t="s">
        <v>401</v>
      </c>
      <c r="C47" s="125"/>
      <c r="D47" s="0" t="s">
        <v>402</v>
      </c>
      <c r="E47" s="113" t="n">
        <v>1</v>
      </c>
    </row>
    <row r="48" customFormat="false" ht="15" hidden="false" customHeight="false" outlineLevel="0" collapsed="false">
      <c r="A48" s="123" t="n">
        <v>33</v>
      </c>
      <c r="B48" s="124" t="s">
        <v>403</v>
      </c>
      <c r="C48" s="125"/>
      <c r="D48" s="0" t="s">
        <v>404</v>
      </c>
      <c r="E48" s="113" t="n">
        <v>1</v>
      </c>
    </row>
    <row r="49" customFormat="false" ht="15" hidden="false" customHeight="false" outlineLevel="0" collapsed="false">
      <c r="A49" s="123" t="n">
        <v>34</v>
      </c>
      <c r="B49" s="124" t="s">
        <v>405</v>
      </c>
      <c r="C49" s="125"/>
      <c r="D49" s="0" t="s">
        <v>406</v>
      </c>
      <c r="E49" s="113" t="n">
        <v>1</v>
      </c>
    </row>
    <row r="50" customFormat="false" ht="15" hidden="false" customHeight="false" outlineLevel="0" collapsed="false">
      <c r="A50" s="123" t="n">
        <v>35</v>
      </c>
      <c r="B50" s="124" t="s">
        <v>407</v>
      </c>
      <c r="C50" s="125"/>
      <c r="D50" s="0" t="s">
        <v>408</v>
      </c>
      <c r="E50" s="113" t="n">
        <v>1</v>
      </c>
    </row>
    <row r="51" customFormat="false" ht="15" hidden="false" customHeight="false" outlineLevel="0" collapsed="false">
      <c r="A51" s="123" t="n">
        <v>36</v>
      </c>
      <c r="B51" s="124" t="s">
        <v>409</v>
      </c>
      <c r="C51" s="125"/>
      <c r="D51" s="0" t="s">
        <v>410</v>
      </c>
      <c r="E51" s="113" t="n">
        <v>1</v>
      </c>
    </row>
    <row r="52" customFormat="false" ht="15" hidden="false" customHeight="false" outlineLevel="0" collapsed="false">
      <c r="A52" s="123" t="n">
        <v>37</v>
      </c>
      <c r="B52" s="124" t="s">
        <v>411</v>
      </c>
      <c r="C52" s="125"/>
      <c r="D52" s="0" t="s">
        <v>412</v>
      </c>
      <c r="E52" s="113" t="n">
        <v>1</v>
      </c>
    </row>
    <row r="53" customFormat="false" ht="15" hidden="false" customHeight="false" outlineLevel="0" collapsed="false">
      <c r="A53" s="123" t="n">
        <v>38</v>
      </c>
      <c r="B53" s="124" t="s">
        <v>413</v>
      </c>
      <c r="C53" s="125"/>
      <c r="D53" s="0" t="s">
        <v>414</v>
      </c>
      <c r="E53" s="113" t="n">
        <v>1</v>
      </c>
      <c r="H53" s="127"/>
    </row>
    <row r="54" customFormat="false" ht="13.5" hidden="false" customHeight="true" outlineLevel="0" collapsed="false">
      <c r="A54" s="128" t="n">
        <v>39</v>
      </c>
      <c r="B54" s="129" t="s">
        <v>415</v>
      </c>
      <c r="C54" s="130" t="n">
        <v>1</v>
      </c>
      <c r="D54" s="0" t="s">
        <v>416</v>
      </c>
      <c r="E54" s="113" t="n">
        <v>1</v>
      </c>
      <c r="F54" s="0" t="n">
        <v>1</v>
      </c>
      <c r="G54" s="131" t="n">
        <v>0</v>
      </c>
    </row>
    <row r="55" customFormat="false" ht="15.75" hidden="false" customHeight="true" outlineLevel="0" collapsed="false">
      <c r="A55" s="128"/>
      <c r="B55" s="129" t="s">
        <v>417</v>
      </c>
      <c r="C55" s="132" t="s">
        <v>418</v>
      </c>
      <c r="D55" s="0" t="s">
        <v>419</v>
      </c>
      <c r="E55" s="113" t="n">
        <v>1</v>
      </c>
      <c r="G55" s="127"/>
    </row>
    <row r="56" customFormat="false" ht="15" hidden="false" customHeight="false" outlineLevel="0" collapsed="false">
      <c r="A56" s="123" t="n">
        <v>40</v>
      </c>
      <c r="B56" s="124" t="s">
        <v>420</v>
      </c>
      <c r="C56" s="125"/>
      <c r="D56" s="0" t="s">
        <v>421</v>
      </c>
      <c r="E56" s="113" t="n">
        <v>1</v>
      </c>
    </row>
    <row r="57" customFormat="false" ht="15" hidden="false" customHeight="false" outlineLevel="0" collapsed="false">
      <c r="A57" s="123" t="n">
        <v>41</v>
      </c>
      <c r="B57" s="129" t="s">
        <v>422</v>
      </c>
      <c r="C57" s="125"/>
      <c r="D57" s="0" t="s">
        <v>423</v>
      </c>
      <c r="E57" s="113" t="n">
        <v>1</v>
      </c>
    </row>
    <row r="58" customFormat="false" ht="15" hidden="false" customHeight="false" outlineLevel="0" collapsed="false">
      <c r="A58" s="123" t="n">
        <v>42</v>
      </c>
      <c r="B58" s="124" t="s">
        <v>424</v>
      </c>
      <c r="C58" s="125"/>
      <c r="D58" s="0" t="s">
        <v>425</v>
      </c>
      <c r="E58" s="113" t="n">
        <v>1</v>
      </c>
    </row>
    <row r="59" customFormat="false" ht="15" hidden="false" customHeight="false" outlineLevel="0" collapsed="false">
      <c r="A59" s="123" t="n">
        <v>43</v>
      </c>
      <c r="B59" s="124" t="s">
        <v>426</v>
      </c>
      <c r="C59" s="125"/>
      <c r="D59" s="0" t="s">
        <v>427</v>
      </c>
      <c r="E59" s="113" t="n">
        <v>1</v>
      </c>
    </row>
    <row r="60" customFormat="false" ht="15" hidden="false" customHeight="false" outlineLevel="0" collapsed="false">
      <c r="A60" s="123" t="n">
        <v>44</v>
      </c>
      <c r="B60" s="124" t="s">
        <v>428</v>
      </c>
      <c r="C60" s="125"/>
      <c r="D60" s="0" t="s">
        <v>429</v>
      </c>
      <c r="E60" s="113" t="n">
        <v>1</v>
      </c>
    </row>
    <row r="61" customFormat="false" ht="15.75" hidden="false" customHeight="false" outlineLevel="0" collapsed="false">
      <c r="A61" s="133" t="n">
        <v>45</v>
      </c>
      <c r="B61" s="134" t="s">
        <v>430</v>
      </c>
      <c r="C61" s="135"/>
      <c r="D61" s="0" t="s">
        <v>431</v>
      </c>
      <c r="E61" s="113" t="n">
        <v>1</v>
      </c>
    </row>
  </sheetData>
  <sheetProtection sheet="true" password="f99e"/>
  <dataValidations count="1">
    <dataValidation allowBlank="true" errorStyle="stop" operator="between" showDropDown="false" showErrorMessage="true" showInputMessage="false" sqref="C54" type="list">
      <formula1>$F$54:$G$54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7" activeCellId="0" sqref="J7"/>
    </sheetView>
  </sheetViews>
  <sheetFormatPr defaultColWidth="8.96484375" defaultRowHeight="15" zeroHeight="false" outlineLevelRow="0" outlineLevelCol="0"/>
  <cols>
    <col collapsed="false" customWidth="true" hidden="false" outlineLevel="0" max="2" min="2" style="0" width="35.56"/>
    <col collapsed="false" customWidth="true" hidden="false" outlineLevel="0" max="3" min="3" style="0" width="23.41"/>
    <col collapsed="false" customWidth="true" hidden="true" outlineLevel="0" max="4" min="4" style="0" width="23.41"/>
    <col collapsed="false" customWidth="true" hidden="false" outlineLevel="0" max="5" min="5" style="0" width="21.56"/>
    <col collapsed="false" customWidth="true" hidden="true" outlineLevel="0" max="6" min="6" style="0" width="21.56"/>
    <col collapsed="false" customWidth="true" hidden="false" outlineLevel="0" max="7" min="7" style="0" width="22.14"/>
    <col collapsed="false" customWidth="false" hidden="true" outlineLevel="0" max="8" min="8" style="0" width="8.96"/>
  </cols>
  <sheetData>
    <row r="1" customFormat="false" ht="15.75" hidden="tru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283</v>
      </c>
      <c r="F1" s="0" t="s">
        <v>284</v>
      </c>
      <c r="G1" s="0" t="s">
        <v>285</v>
      </c>
      <c r="H1" s="0" t="s">
        <v>286</v>
      </c>
    </row>
    <row r="2" customFormat="false" ht="33.75" hidden="false" customHeight="true" outlineLevel="0" collapsed="false">
      <c r="A2" s="136"/>
      <c r="B2" s="137" t="s">
        <v>432</v>
      </c>
      <c r="C2" s="137"/>
      <c r="D2" s="137"/>
      <c r="E2" s="137"/>
      <c r="F2" s="137"/>
      <c r="G2" s="137"/>
    </row>
    <row r="3" customFormat="false" ht="15" hidden="false" customHeight="false" outlineLevel="0" collapsed="false">
      <c r="A3" s="138"/>
      <c r="B3" s="139"/>
      <c r="C3" s="140" t="s">
        <v>433</v>
      </c>
      <c r="D3" s="140"/>
      <c r="E3" s="140" t="s">
        <v>434</v>
      </c>
      <c r="F3" s="141"/>
      <c r="G3" s="142" t="s">
        <v>178</v>
      </c>
    </row>
    <row r="4" customFormat="false" ht="15" hidden="false" customHeight="false" outlineLevel="0" collapsed="false">
      <c r="A4" s="138"/>
      <c r="B4" s="143" t="s">
        <v>435</v>
      </c>
      <c r="C4" s="144"/>
      <c r="D4" s="143" t="s">
        <v>436</v>
      </c>
      <c r="E4" s="144"/>
      <c r="F4" s="145" t="s">
        <v>437</v>
      </c>
      <c r="G4" s="146" t="n">
        <f aca="false">SUM(C4,E4)</f>
        <v>0</v>
      </c>
      <c r="H4" s="0" t="s">
        <v>438</v>
      </c>
    </row>
    <row r="5" customFormat="false" ht="15" hidden="false" customHeight="false" outlineLevel="0" collapsed="false">
      <c r="A5" s="138"/>
      <c r="B5" s="143" t="s">
        <v>439</v>
      </c>
      <c r="C5" s="144"/>
      <c r="D5" s="143" t="s">
        <v>440</v>
      </c>
      <c r="E5" s="144"/>
      <c r="F5" s="145" t="s">
        <v>441</v>
      </c>
      <c r="G5" s="146" t="n">
        <f aca="false">SUM(C5,E5)</f>
        <v>0</v>
      </c>
      <c r="H5" s="0" t="s">
        <v>442</v>
      </c>
    </row>
    <row r="6" customFormat="false" ht="15" hidden="false" customHeight="false" outlineLevel="0" collapsed="false">
      <c r="A6" s="138"/>
      <c r="B6" s="143" t="s">
        <v>443</v>
      </c>
      <c r="C6" s="144"/>
      <c r="D6" s="143" t="s">
        <v>444</v>
      </c>
      <c r="E6" s="144"/>
      <c r="F6" s="145" t="s">
        <v>445</v>
      </c>
      <c r="G6" s="146" t="n">
        <f aca="false">SUM(C6,E6)</f>
        <v>0</v>
      </c>
      <c r="H6" s="0" t="s">
        <v>446</v>
      </c>
    </row>
    <row r="7" customFormat="false" ht="40.5" hidden="false" customHeight="true" outlineLevel="0" collapsed="false">
      <c r="A7" s="138"/>
      <c r="B7" s="147" t="s">
        <v>447</v>
      </c>
      <c r="C7" s="144"/>
      <c r="D7" s="143" t="s">
        <v>448</v>
      </c>
      <c r="E7" s="144"/>
      <c r="F7" s="145" t="s">
        <v>449</v>
      </c>
      <c r="G7" s="146" t="n">
        <f aca="false">SUM(C7,E7)</f>
        <v>0</v>
      </c>
      <c r="H7" s="0" t="s">
        <v>450</v>
      </c>
    </row>
    <row r="8" customFormat="false" ht="15" hidden="false" customHeight="false" outlineLevel="0" collapsed="false">
      <c r="A8" s="138"/>
      <c r="B8" s="143" t="s">
        <v>451</v>
      </c>
      <c r="C8" s="144"/>
      <c r="D8" s="143" t="s">
        <v>452</v>
      </c>
      <c r="E8" s="144"/>
      <c r="F8" s="145" t="s">
        <v>453</v>
      </c>
      <c r="G8" s="146" t="n">
        <f aca="false">SUM(C8,E8)</f>
        <v>0</v>
      </c>
      <c r="H8" s="0" t="s">
        <v>454</v>
      </c>
    </row>
    <row r="9" customFormat="false" ht="40.5" hidden="false" customHeight="true" outlineLevel="0" collapsed="false">
      <c r="A9" s="42"/>
      <c r="B9" s="147" t="s">
        <v>455</v>
      </c>
      <c r="C9" s="144"/>
      <c r="D9" s="143" t="s">
        <v>456</v>
      </c>
      <c r="E9" s="144"/>
      <c r="F9" s="145" t="s">
        <v>457</v>
      </c>
      <c r="G9" s="146" t="n">
        <f aca="false">SUM(C9,E9)</f>
        <v>0</v>
      </c>
      <c r="H9" s="0" t="s">
        <v>458</v>
      </c>
    </row>
    <row r="10" customFormat="false" ht="15" hidden="false" customHeight="false" outlineLevel="0" collapsed="false">
      <c r="A10" s="42"/>
      <c r="B10" s="143" t="s">
        <v>459</v>
      </c>
      <c r="C10" s="144"/>
      <c r="D10" s="143" t="s">
        <v>460</v>
      </c>
      <c r="E10" s="144"/>
      <c r="F10" s="145" t="s">
        <v>461</v>
      </c>
      <c r="G10" s="146" t="n">
        <f aca="false">SUM(C10,E10)</f>
        <v>0</v>
      </c>
      <c r="H10" s="0" t="s">
        <v>462</v>
      </c>
    </row>
    <row r="11" customFormat="false" ht="15" hidden="false" customHeight="false" outlineLevel="0" collapsed="false">
      <c r="A11" s="42"/>
      <c r="B11" s="143" t="s">
        <v>463</v>
      </c>
      <c r="C11" s="144"/>
      <c r="D11" s="143" t="s">
        <v>464</v>
      </c>
      <c r="E11" s="144"/>
      <c r="F11" s="145" t="s">
        <v>465</v>
      </c>
      <c r="G11" s="146" t="n">
        <f aca="false">SUM(C11,E11)</f>
        <v>0</v>
      </c>
      <c r="H11" s="0" t="s">
        <v>466</v>
      </c>
    </row>
    <row r="12" customFormat="false" ht="15" hidden="false" customHeight="false" outlineLevel="0" collapsed="false">
      <c r="A12" s="42"/>
      <c r="B12" s="143" t="s">
        <v>467</v>
      </c>
      <c r="C12" s="144"/>
      <c r="D12" s="143" t="s">
        <v>468</v>
      </c>
      <c r="E12" s="144"/>
      <c r="F12" s="145" t="s">
        <v>469</v>
      </c>
      <c r="G12" s="146" t="n">
        <f aca="false">SUM(C12,E12)</f>
        <v>0</v>
      </c>
      <c r="H12" s="0" t="s">
        <v>470</v>
      </c>
    </row>
    <row r="13" customFormat="false" ht="38.25" hidden="false" customHeight="true" outlineLevel="0" collapsed="false">
      <c r="A13" s="78"/>
      <c r="B13" s="148" t="s">
        <v>471</v>
      </c>
      <c r="C13" s="149" t="n">
        <f aca="false">SUM(C4:C12)</f>
        <v>0</v>
      </c>
      <c r="D13" s="149" t="s">
        <v>472</v>
      </c>
      <c r="E13" s="149" t="n">
        <f aca="false">SUM(E4:E12)</f>
        <v>0</v>
      </c>
      <c r="F13" s="150" t="s">
        <v>473</v>
      </c>
      <c r="G13" s="151" t="n">
        <f aca="false">SUM(C13,E13)</f>
        <v>0</v>
      </c>
      <c r="H13" s="0" t="s">
        <v>474</v>
      </c>
    </row>
  </sheetData>
  <sheetProtection sheet="true" password="f99e"/>
  <mergeCells count="1">
    <mergeCell ref="B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2013-09-10T08:00:06Z</dcterms:created>
  <dc:creator>Himadri</dc:creator>
  <dc:description/>
  <dc:language>en-US</dc:language>
  <cp:lastModifiedBy>ADEPT</cp:lastModifiedBy>
  <dcterms:modified xsi:type="dcterms:W3CDTF">2023-10-06T11:22:56Z</dcterms:modified>
  <cp:revision>0</cp:revision>
  <dc:subject/>
  <dc:title/>
</cp:coreProperties>
</file>