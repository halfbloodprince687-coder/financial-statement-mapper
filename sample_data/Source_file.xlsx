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3.xml.rels" ContentType="application/vnd.openxmlformats-package.relationship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inancial Stmt_As per SCH-III" sheetId="1" state="visible" r:id="rId3"/>
    <sheet name="MAT and Diff" sheetId="2" state="visible" r:id="rId4"/>
    <sheet name="Dep. SCH" sheetId="3" state="visible" r:id="rId5"/>
    <sheet name="trding" sheetId="4" state="visible" r:id="rId6"/>
  </sheets>
  <externalReferences>
    <externalReference r:id="rId7"/>
    <externalReference r:id="rId8"/>
    <externalReference r:id="rId9"/>
  </externalReferences>
  <definedNames>
    <definedName function="false" hidden="false" localSheetId="2" name="_xlnm.Print_Area" vbProcedure="false">'Dep. SCH'!$A$3:$M$33</definedName>
    <definedName function="false" hidden="false" localSheetId="0" name="_xlnm.Print_Area" vbProcedure="false">'Financial Stmt_As per SCH-III'!$A$1:$G$778</definedName>
    <definedName function="false" hidden="false" name="AS2DocOpenMode" vbProcedure="false">"AS2DocumentEdit"</definedName>
    <definedName function="false" hidden="false" name="ASIA_PLASTIC_in_KUSD" vbProcedure="false">#REF!</definedName>
    <definedName function="false" hidden="false" name="ASSETSNOTES" vbProcedure="false">'Financial Stmt_As per SCH-III'!$A$339:$G$447</definedName>
    <definedName function="false" hidden="false" name="ASSETSWORKING" vbProcedure="false"/>
    <definedName function="false" hidden="false" name="AsstYr" vbProcedure="false">[1]Masters!$C$34</definedName>
    <definedName function="false" hidden="false" name="axedoc" vbProcedure="false">#REF!</definedName>
    <definedName function="false" hidden="false" name="BALANCESHEET" vbProcedure="false">'Financial Stmt_As per SCH-III'!$A$1:$G$56</definedName>
    <definedName function="false" hidden="false" name="BSDateSF" vbProcedure="false">[1]Masters!$C$28</definedName>
    <definedName function="false" hidden="false" name="CHINA_PLASTIC_in_KUSD" vbProcedure="false">#REF!</definedName>
    <definedName function="false" hidden="false" name="CoAdd" vbProcedure="false">[1]Masters!$C$4</definedName>
    <definedName function="false" hidden="false" name="col1" vbProcedure="false"/>
    <definedName function="false" hidden="false" name="col10" vbProcedure="false"/>
    <definedName function="false" hidden="false" name="col11" vbProcedure="false"/>
    <definedName function="false" hidden="false" name="col12" vbProcedure="false">#REF!</definedName>
    <definedName function="false" hidden="false" name="col13" vbProcedure="false">#REF!</definedName>
    <definedName function="false" hidden="false" name="col2" vbProcedure="false"/>
    <definedName function="false" hidden="false" name="col3" vbProcedure="false"/>
    <definedName function="false" hidden="false" name="col4" vbProcedure="false"/>
    <definedName function="false" hidden="false" name="col5" vbProcedure="false"/>
    <definedName function="false" hidden="false" name="col6" vbProcedure="false"/>
    <definedName function="false" hidden="false" name="col7" vbProcedure="false"/>
    <definedName function="false" hidden="false" name="col8" vbProcedure="false"/>
    <definedName function="false" hidden="false" name="col9" vbProcedure="false"/>
    <definedName function="false" hidden="false" name="CoName" vbProcedure="false">[1]Masters!$C$3</definedName>
    <definedName function="false" hidden="false" name="COST" vbProcedure="false"/>
    <definedName function="false" hidden="false" name="CoStatus" vbProcedure="false">[1]Masters!$C$7</definedName>
    <definedName function="false" hidden="false" name="cost_calcn" vbProcedure="false">#REF!</definedName>
    <definedName function="false" hidden="false" name="e" vbProcedure="false"/>
    <definedName function="false" hidden="false" name="Excel_BuiltIn_Database" vbProcedure="false">#REF!</definedName>
    <definedName function="false" hidden="false" name="Excel_BuiltIn_Print_Area" vbProcedure="false">'Financial Stmt_As per SCH-III'!$A$54:$G$107</definedName>
    <definedName function="false" hidden="false" name="EXPENSESNOTES" vbProcedure="false">'Financial Stmt_As per SCH-III'!$A$506:$G$592</definedName>
    <definedName function="false" hidden="false" name="Gross_Margin___Rs_M" vbProcedure="false">#REF!</definedName>
    <definedName function="false" hidden="false" name="INCOMENOTES" vbProcedure="false">'Financial Stmt_As per SCH-III'!$A$448:$G$482</definedName>
    <definedName function="false" hidden="false" name="INDIA_PLASTIC_in_KUSD" vbProcedure="false">#REF!</definedName>
    <definedName function="false" hidden="false" name="j" vbProcedure="false"/>
    <definedName function="false" hidden="false" name="KOREA_PLASTIC_in_KUSD" vbProcedure="false">#REF!</definedName>
    <definedName function="false" hidden="false" name="LAC" vbProcedure="false">#REF!</definedName>
    <definedName function="false" hidden="false" name="LIABILITIESWORKING" vbProcedure="false">'Financial Stmt_As per SCH-III'!$A$779:$G$779</definedName>
    <definedName function="false" hidden="false" name="LIBILITIESNOTES" vbProcedure="false">'Financial Stmt_As per SCH-III'!$A$173:$G$338</definedName>
    <definedName function="false" hidden="false" name="MAR9091" vbProcedure="false"/>
    <definedName function="false" hidden="false" name="MDEVISES" vbProcedure="false">'Financial Stmt_As per SCH-III'!$H$38:$L$66,'Financial Stmt_As per SCH-III'!$H$69:$L$104,'Financial Stmt_As per SCH-III'!$H$106:$L$122</definedName>
    <definedName function="false" hidden="false" name="MethodAcc" vbProcedure="false">[1]Masters!$C$46</definedName>
    <definedName function="false" hidden="false" name="MFRF" vbProcedure="false">'Financial Stmt_As per SCH-III'!$A$4:$G$35,'Financial Stmt_As per SCH-III'!$A$37:$G$66,'Financial Stmt_As per SCH-III'!$A$68:$G$104,'Financial Stmt_As per SCH-III'!$A$106:$G$122,'Financial Stmt_As per SCH-III'!$A$124:$G$150</definedName>
    <definedName function="false" hidden="false" name="MStVal" vbProcedure="false">[1]Masters!$C$47</definedName>
    <definedName function="false" hidden="false" name="NatureBusiness" vbProcedure="false">[1]Masters!$C$45</definedName>
    <definedName function="false" hidden="false" name="operations" vbProcedure="false">#REF!</definedName>
    <definedName function="false" hidden="false" name="OTHERNOTES" vbProcedure="false">'Financial Stmt_As per SCH-III'!$A$599:$G$778</definedName>
    <definedName function="false" hidden="false" name="PAN" vbProcedure="false">[1]Masters!$C$11</definedName>
    <definedName function="false" hidden="false" name="PartDesignation" vbProcedure="false">[2]Masters!$C$16</definedName>
    <definedName function="false" hidden="false" name="POLICIES" vbProcedure="false">'Financial Stmt_As per SCH-III'!$A$172:$G$172</definedName>
    <definedName function="false" hidden="false" name="print1" vbProcedure="false">'Financial Stmt_As per SCH-III'!$A$2:$G$56</definedName>
    <definedName function="false" hidden="false" name="print2" vbProcedure="false">'Financial Stmt_As per SCH-III'!$A$57:$G$107</definedName>
    <definedName function="false" hidden="false" name="print3" vbProcedure="false">'Financial Stmt_As per SCH-III'!$A$172:$G$297</definedName>
    <definedName function="false" hidden="false" name="print4" vbProcedure="false">'Financial Stmt_As per SCH-III'!$A$314:$G$338</definedName>
    <definedName function="false" hidden="false" name="print5" vbProcedure="false">'Financial Stmt_As per SCH-III'!$A$339:$G$413</definedName>
    <definedName function="false" hidden="false" name="print6" vbProcedure="false">'Financial Stmt_As per SCH-III'!$A$339:$G$433</definedName>
    <definedName function="false" hidden="false" name="print7" vbProcedure="false">'Financial Stmt_As per SCH-III'!$A$442:$G$552</definedName>
    <definedName function="false" hidden="false" name="print8" vbProcedure="false">'Financial Stmt_As per SCH-III'!$A$566:$G$597</definedName>
    <definedName function="false" hidden="false" name="PRINT_AREA_MI" vbProcedure="false">'Financial Stmt_As per SCH-III'!$A$54:$G$107</definedName>
    <definedName function="false" hidden="false" name="PROFITANDLOSS" vbProcedure="false">'Financial Stmt_As per SCH-III'!$A$57:$G$170</definedName>
    <definedName function="false" hidden="false" name="P___L___Statement" vbProcedure="false">#REF!</definedName>
    <definedName function="false" hidden="false" name="Realisations_salevalue" vbProcedure="false">#REF!</definedName>
    <definedName function="false" hidden="false" name="RMB" vbProcedure="false">[3]Data!$D$10</definedName>
    <definedName function="false" hidden="false" name="SALES" vbProcedure="false">#REF!</definedName>
    <definedName function="false" hidden="false" name="Stocks" vbProcedure="false">#REF!</definedName>
    <definedName function="false" hidden="false" name="TAFName" vbProcedure="false">[1]Masters!$C$19</definedName>
    <definedName function="false" hidden="false" name="TAMNo" vbProcedure="false">[1]Masters!$C$23</definedName>
    <definedName function="false" hidden="false" name="TAName" vbProcedure="false">[1]Masters!$C$20</definedName>
    <definedName function="false" hidden="false" name="TAPlace" vbProcedure="false">[1]Masters!$C$43</definedName>
    <definedName function="false" hidden="false" name="TaxAudAdd" vbProcedure="false">[1]Masters!$C$24</definedName>
    <definedName function="false" hidden="false" name="TaxAuditDate" vbProcedure="false">[1]Masters!$C$40</definedName>
    <definedName function="false" hidden="false" name="THAI_PLASTIC_in_KUSD" vbProcedure="false">#REF!</definedName>
    <definedName function="false" hidden="false" name="USD_A" vbProcedure="false">#REF!</definedName>
    <definedName function="false" hidden="false" name="USD_B" vbProcedure="false">'Financial Stmt_As per SCH-III'!$B$1</definedName>
    <definedName function="false" hidden="false" name="USD_E" vbProcedure="false">#REF!</definedName>
    <definedName function="false" hidden="false" name="wrn_imprim_"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false" name="xc96" vbProcedure="false">#REF!</definedName>
    <definedName function="false" hidden="false" name="xx" vbProcedure="false"/>
    <definedName function="false" hidden="false" name="_Fill" vbProcedure="false">#REF!</definedName>
    <definedName function="false" hidden="false" name="_Key1" vbProcedure="false">#REF!</definedName>
    <definedName function="false" hidden="false" name="_Order1" vbProcedure="false">255</definedName>
    <definedName function="false" hidden="false" name="_Sort" vbProcedure="false">#REF!</definedName>
    <definedName function="false" hidden="false" name="__123Graph_A" vbProcedure="false"/>
    <definedName function="false" hidden="false" name="__123Graph_B" vbProcedure="false"/>
    <definedName function="false" hidden="false" name="__123Graph_X" vbProcedure="false"/>
    <definedName function="false" hidden="false" localSheetId="0" name="Z_0B5FAD28_E31B_4E04_B64F_18FC322DD6D2__wvu_Cols" vbProcedure="false">#REF!</definedName>
    <definedName function="false" hidden="false" localSheetId="0" name="Z_0B5FAD28_E31B_4E04_B64F_18FC322DD6D2__wvu_Rows" vbProcedure="false">'Financial Stmt_As per SCH-III'!$187:$188,#REF!,#REF!,'Financial Stmt_As per SCH-III'!$208:$215,'Financial Stmt_As per SCH-III'!$256:$256,'Financial Stmt_As per SCH-III'!$262:$263,'Financial Stmt_As per SCH-III'!$269:$269,#REF!,#REF!,'Financial Stmt_As per SCH-III'!$297:$297,'Financial Stmt_As per SCH-III'!$332:$333,#REF!,#REF!,#REF!,#REF!,'Financial Stmt_As per SCH-III'!$350:$363,#REF!</definedName>
    <definedName function="false" hidden="false" localSheetId="0" name="Z_2B183E39_27BC_4D27_920A_C665E1E009B4__wvu_Cols" vbProcedure="false">#REF!</definedName>
    <definedName function="false" hidden="false" localSheetId="0" name="Z_63BD2C9E_4B0D_44A8_8E97_492595E2E706__wvu_Cols" vbProcedure="false">#REF!</definedName>
    <definedName function="false" hidden="false" localSheetId="0" name="Z_63BD2C9E_4B0D_44A8_8E97_492595E2E706__wvu_Rows" vbProcedure="false">#REF!,#REF!,#REF!,#REF!,#REF!,#REF!,#REF!,#REF!,'Financial Stmt_As per SCH-III'!$351:$363,#REF!,'Financial Stmt_As per SCH-III'!$376:$390,#REF!,#REF!,#REF!,#REF!,#REF!,#REF!</definedName>
    <definedName function="false" hidden="false" localSheetId="0" name="Z_76792057_0550_4268_A70B_E058E027786F__wvu_Rows" vbProcedure="false">#REF!,#REF!,'Financial Stmt_As per SCH-III'!$36:$36,#REF!,#REF!,#REF!,#REF!,'Financial Stmt_As per SCH-III'!$118:$118,'Financial Stmt_As per SCH-III'!$142:$142,#REF!,'Financial Stmt_As per SCH-III'!$146:$147,#REF!,#REF!,#REF!,#REF!,#REF!,'Financial Stmt_As per SCH-III'!$187:$187,#REF!,#REF!,#REF!,#REF!,#REF!,#REF!,'Financial Stmt_As per SCH-III'!$376:$390,'Financial Stmt_As per SCH-III'!$764:$764</definedName>
    <definedName function="false" hidden="false" localSheetId="0" name="Z_A61FD079_A27D_4464_8B57_7417870A72A1__wvu_Cols" vbProcedure="false">#REF!</definedName>
    <definedName function="false" hidden="false" localSheetId="0" name="Z_A61FD079_A27D_4464_8B57_7417870A72A1__wvu_Rows" vbProcedure="false">'Financial Stmt_As per SCH-III'!$187:$188,#REF!,#REF!,'Financial Stmt_As per SCH-III'!$208:$215,'Financial Stmt_As per SCH-III'!$256:$256,'Financial Stmt_As per SCH-III'!$262:$263,'Financial Stmt_As per SCH-III'!$269:$269,#REF!,#REF!,'Financial Stmt_As per SCH-III'!$297:$297,'Financial Stmt_As per SCH-III'!$332:$333,#REF!,#REF!,#REF!,#REF!,#REF!</definedName>
    <definedName function="false" hidden="false" localSheetId="0" name="Z_C5E1D755_8EB0_43DA_BC19_4F20FF732AB4__wvu_Cols" vbProcedure="false">#REF!</definedName>
    <definedName function="false" hidden="false" localSheetId="0" name="Z_C5E1D755_8EB0_43DA_BC19_4F20FF732AB4__wvu_Rows" vbProcedure="false">'Financial Stmt_As per SCH-III'!$187:$188,#REF!,#REF!,'Financial Stmt_As per SCH-III'!$208:$215,'Financial Stmt_As per SCH-III'!$256:$256,'Financial Stmt_As per SCH-III'!$262:$263,'Financial Stmt_As per SCH-III'!$269:$269,#REF!,#REF!,'Financial Stmt_As per SCH-III'!$297:$297,'Financial Stmt_As per SCH-III'!$332:$333,#REF!,#REF!,#REF!,#REF!,'Financial Stmt_As per SCH-III'!$350:$363,#REF!</definedName>
    <definedName function="false" hidden="false" localSheetId="0" name="Z_E1E9C786_7DCF_4F75_BD8F_7735DC2DB2DD__wvu_Cols" vbProcedure="false">#REF!</definedName>
    <definedName function="false" hidden="false" localSheetId="0" name="Z_FD5E9913_F06C_499F_9B3B_16CF270E985A__wvu_Cols"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<sst xmlns="http://schemas.openxmlformats.org/spreadsheetml/2006/main" count="766" uniqueCount="649">
  <si>
    <t xml:space="preserve">                                                                                                                                                                                                                                                                                                                                                                                                                                                                                                                                                                                                            </t>
  </si>
  <si>
    <t xml:space="preserve"> </t>
  </si>
  <si>
    <t xml:space="preserve">HI DIAMONDS PVT. LTD.</t>
  </si>
  <si>
    <t xml:space="preserve">G-1, DIL PASAND SQUARE , 164, KANCHAN BAG , INDORE </t>
  </si>
  <si>
    <t xml:space="preserve">BALANCE SHEET AS AT </t>
  </si>
  <si>
    <t xml:space="preserve">31st March, 2025</t>
  </si>
  <si>
    <t xml:space="preserve">CIN U52393MP2010PTC024277</t>
  </si>
  <si>
    <t xml:space="preserve">Particulars</t>
  </si>
  <si>
    <t xml:space="preserve">Note No.</t>
  </si>
  <si>
    <t xml:space="preserve">Figures as at the end of current reporting period 31-03-2025</t>
  </si>
  <si>
    <t xml:space="preserve">Figures as at the end of current reporting period 31-03-2024</t>
  </si>
  <si>
    <t xml:space="preserve">Amount (In Rs.)</t>
  </si>
  <si>
    <t xml:space="preserve">I. EQUITY AND LIABILITIES</t>
  </si>
  <si>
    <t xml:space="preserve">    </t>
  </si>
  <si>
    <t xml:space="preserve">24-25</t>
  </si>
  <si>
    <t xml:space="preserve">23-24</t>
  </si>
  <si>
    <t xml:space="preserve">22-23</t>
  </si>
  <si>
    <t xml:space="preserve">Shareholders' Fund</t>
  </si>
  <si>
    <t xml:space="preserve">nws</t>
  </si>
  <si>
    <t xml:space="preserve">    Share Capital</t>
  </si>
  <si>
    <t xml:space="preserve">    Reserves &amp; Surplus</t>
  </si>
  <si>
    <t xml:space="preserve">avg wc</t>
  </si>
  <si>
    <t xml:space="preserve">Share application money, pending allotment</t>
  </si>
  <si>
    <t xml:space="preserve">Non-current liabilities</t>
  </si>
  <si>
    <t xml:space="preserve">       Long-term borrowings</t>
  </si>
  <si>
    <t xml:space="preserve">       Deferred tax liabilities(Net)</t>
  </si>
  <si>
    <t xml:space="preserve">Current liabilities</t>
  </si>
  <si>
    <t xml:space="preserve">        Short-term borrowings</t>
  </si>
  <si>
    <t xml:space="preserve">        Trade Payables</t>
  </si>
  <si>
    <t xml:space="preserve">(A) total outstading dues of Micro enterprises and small enterprises</t>
  </si>
  <si>
    <t xml:space="preserve">(B) total outstanding dues of creditors other than micro enterprises and small enterprises</t>
  </si>
  <si>
    <t xml:space="preserve">        Other current liabilities</t>
  </si>
  <si>
    <t xml:space="preserve">        Short term provisions</t>
  </si>
  <si>
    <t xml:space="preserve"> TOTAL</t>
  </si>
  <si>
    <t xml:space="preserve">II. ASSETS</t>
  </si>
  <si>
    <t xml:space="preserve">   Non-current assets</t>
  </si>
  <si>
    <t xml:space="preserve">Property, Plant  Equipment and Intangible assets</t>
  </si>
  <si>
    <t xml:space="preserve">Prperty, plant and equipments</t>
  </si>
  <si>
    <t xml:space="preserve">Intangible assets</t>
  </si>
  <si>
    <t xml:space="preserve">Long-term loans and advances</t>
  </si>
  <si>
    <t xml:space="preserve">Other non-current assets</t>
  </si>
  <si>
    <t xml:space="preserve">   </t>
  </si>
  <si>
    <t xml:space="preserve"> Current assets</t>
  </si>
  <si>
    <t xml:space="preserve">     Inventories</t>
  </si>
  <si>
    <t xml:space="preserve">     Trade Receivables</t>
  </si>
  <si>
    <t xml:space="preserve">     Cash and bank balances</t>
  </si>
  <si>
    <t xml:space="preserve">          Cash and cash equivelants</t>
  </si>
  <si>
    <t xml:space="preserve">          Other bank balances</t>
  </si>
  <si>
    <t xml:space="preserve">     Short-term loans and advances</t>
  </si>
  <si>
    <t xml:space="preserve">See acompanying notes to the financial statements.</t>
  </si>
  <si>
    <t xml:space="preserve">As per our report of even date</t>
  </si>
  <si>
    <t xml:space="preserve">For DILIP RATHOR AND CO.</t>
  </si>
  <si>
    <t xml:space="preserve">For and on behalf of  the Board of Directors of  the Company.</t>
  </si>
  <si>
    <t xml:space="preserve">Chartered Accountants</t>
  </si>
  <si>
    <t xml:space="preserve">Firm Reg. No.  : 011691 C</t>
  </si>
  <si>
    <t xml:space="preserve">Shri Harshvardhan Bhatia</t>
  </si>
  <si>
    <t xml:space="preserve">SMT Padmini Bhatia</t>
  </si>
  <si>
    <t xml:space="preserve">(DIRECTOR)</t>
  </si>
  <si>
    <t xml:space="preserve">DILIP RATHOR</t>
  </si>
  <si>
    <t xml:space="preserve">(DIN : 03136236)</t>
  </si>
  <si>
    <t xml:space="preserve">(DIN : 03136241)</t>
  </si>
  <si>
    <t xml:space="preserve">(PROPRIETOR)</t>
  </si>
  <si>
    <t xml:space="preserve">Place:</t>
  </si>
  <si>
    <t xml:space="preserve">Indore</t>
  </si>
  <si>
    <t xml:space="preserve">M.No.  077973</t>
  </si>
  <si>
    <t xml:space="preserve">Date: 07/09/2025</t>
  </si>
  <si>
    <t xml:space="preserve">UDIN:  25077973BMLATD4385</t>
  </si>
  <si>
    <t xml:space="preserve">PROFIT AND LOSS STATEMENT FOR THE YEAR ENDED</t>
  </si>
  <si>
    <t xml:space="preserve">Continuing Operations</t>
  </si>
  <si>
    <t xml:space="preserve">Income</t>
  </si>
  <si>
    <t xml:space="preserve">Revenue from operations </t>
  </si>
  <si>
    <t xml:space="preserve">Other Income</t>
  </si>
  <si>
    <t xml:space="preserve">Total Revenue </t>
  </si>
  <si>
    <t xml:space="preserve">Expenses:</t>
  </si>
  <si>
    <t xml:space="preserve">Cost of material consumed</t>
  </si>
  <si>
    <t xml:space="preserve">Purchase of stock-in-trade</t>
  </si>
  <si>
    <t xml:space="preserve">Changes in inventories of finished goods, work in progress and stock-in-trade</t>
  </si>
  <si>
    <t xml:space="preserve">Employee benefit expenses</t>
  </si>
  <si>
    <t xml:space="preserve">Finance costs</t>
  </si>
  <si>
    <t xml:space="preserve">Depreciation and amortisation expense</t>
  </si>
  <si>
    <t xml:space="preserve">Other expenses</t>
  </si>
  <si>
    <t xml:space="preserve">Total Expenses</t>
  </si>
  <si>
    <t xml:space="preserve">Profit before exceptional, extraordinary and prior period items and tax </t>
  </si>
  <si>
    <t xml:space="preserve">Expenses Capitalized</t>
  </si>
  <si>
    <t xml:space="preserve">Profit before extraordinary and prior period items and tax </t>
  </si>
  <si>
    <t xml:space="preserve">Extraordinary Items</t>
  </si>
  <si>
    <t xml:space="preserve">Profit before prior period items and tax </t>
  </si>
  <si>
    <t xml:space="preserve">Prior Period Items</t>
  </si>
  <si>
    <t xml:space="preserve">Profit(Loss) before tax </t>
  </si>
  <si>
    <t xml:space="preserve">Tax expense:</t>
  </si>
  <si>
    <t xml:space="preserve">         Current tax</t>
  </si>
  <si>
    <t xml:space="preserve">        Deferred tax</t>
  </si>
  <si>
    <t xml:space="preserve">Profit(Loss) for the period </t>
  </si>
  <si>
    <t xml:space="preserve">Earning per equity share:</t>
  </si>
  <si>
    <t xml:space="preserve">       Basic</t>
  </si>
  <si>
    <t xml:space="preserve">       Diluted</t>
  </si>
  <si>
    <t xml:space="preserve">CASH FLOW STATEMENT FOR THE YEAR ENDED ON</t>
  </si>
  <si>
    <t xml:space="preserve">Rs.</t>
  </si>
  <si>
    <t xml:space="preserve">Cash Flow from Operating activities</t>
  </si>
  <si>
    <t xml:space="preserve">Profit before tax from continuing operations</t>
  </si>
  <si>
    <t xml:space="preserve">Non cash adjustments to reconcile profit before tax to net cash flows:</t>
  </si>
  <si>
    <t xml:space="preserve">Depreciation/amortisation on continuing operations</t>
  </si>
  <si>
    <t xml:space="preserve">Loss(Profit) on sale of fixed assets</t>
  </si>
  <si>
    <t xml:space="preserve">Finance Cost</t>
  </si>
  <si>
    <t xml:space="preserve">Dividend Income </t>
  </si>
  <si>
    <t xml:space="preserve">Interest income</t>
  </si>
  <si>
    <t xml:space="preserve">Operating profit before changes in working capital</t>
  </si>
  <si>
    <t xml:space="preserve">Movements in working capital:</t>
  </si>
  <si>
    <t xml:space="preserve">Increase(decrease) in trade payable</t>
  </si>
  <si>
    <t xml:space="preserve">Increase(decrease) in other current liabilities</t>
  </si>
  <si>
    <t xml:space="preserve">Increase(decrease) in short term Borrowings</t>
  </si>
  <si>
    <t xml:space="preserve">Increase(decrease) in short term provisions</t>
  </si>
  <si>
    <t xml:space="preserve">Decrese(increase) in long term loans and advances</t>
  </si>
  <si>
    <t xml:space="preserve">Decrese(increase) in inventories</t>
  </si>
  <si>
    <t xml:space="preserve">Decrese(increase) in non current asset</t>
  </si>
  <si>
    <t xml:space="preserve">Decrese(increase) in trade receivables</t>
  </si>
  <si>
    <t xml:space="preserve">Decrese(increase) in other current assets</t>
  </si>
  <si>
    <t xml:space="preserve">Decrese(increase) in short term loans and advances</t>
  </si>
  <si>
    <t xml:space="preserve">Cash generated from(used in) operations</t>
  </si>
  <si>
    <t xml:space="preserve">Direct taxes paid (net)</t>
  </si>
  <si>
    <t xml:space="preserve">Cash flows from operating activities</t>
  </si>
  <si>
    <t xml:space="preserve">Cash Flow from investting activities</t>
  </si>
  <si>
    <t xml:space="preserve">Purchase of Property, plant and equipments including capital advances</t>
  </si>
  <si>
    <t xml:space="preserve">Proceed from Long Term Investment</t>
  </si>
  <si>
    <t xml:space="preserve">Misc Exp.</t>
  </si>
  <si>
    <t xml:space="preserve">Dividend Received</t>
  </si>
  <si>
    <t xml:space="preserve">Proceeds from subsidy/ sale of fixed assets/ balances of creditors for capital goods written off</t>
  </si>
  <si>
    <t xml:space="preserve">Interest received</t>
  </si>
  <si>
    <t xml:space="preserve">Cash flows from investing activities</t>
  </si>
  <si>
    <t xml:space="preserve">Cash Flow from financing activities</t>
  </si>
  <si>
    <t xml:space="preserve">Buy back of equity shares</t>
  </si>
  <si>
    <t xml:space="preserve">Taxes paid on buy back of shares</t>
  </si>
  <si>
    <t xml:space="preserve">Repayment of long term borrowings</t>
  </si>
  <si>
    <t xml:space="preserve">Proceeds from long term borrowings</t>
  </si>
  <si>
    <t xml:space="preserve">Proceeds from short term borrowings</t>
  </si>
  <si>
    <t xml:space="preserve">Interest paid</t>
  </si>
  <si>
    <t xml:space="preserve">Cash flow from financing activities</t>
  </si>
  <si>
    <t xml:space="preserve">Components of cash and cash equivelants</t>
  </si>
  <si>
    <t xml:space="preserve">NET INCREASE/DECREASE IN CASH &amp; CASH EQUIVALENT</t>
  </si>
  <si>
    <t xml:space="preserve">Opening Cash Eqivalents</t>
  </si>
  <si>
    <t xml:space="preserve">Cash and Cash equivalents at the end of the period</t>
  </si>
  <si>
    <t xml:space="preserve">Cash and Cash equivalents as per Balance Sheet</t>
  </si>
  <si>
    <t xml:space="preserve">Cash on hand</t>
  </si>
  <si>
    <t xml:space="preserve">in current accounts</t>
  </si>
  <si>
    <t xml:space="preserve">Total cash and cash equivelants</t>
  </si>
  <si>
    <t xml:space="preserve">Difference </t>
  </si>
  <si>
    <t xml:space="preserve">Shri Harshwardhan Bhatia</t>
  </si>
  <si>
    <t xml:space="preserve">Share Capital</t>
  </si>
  <si>
    <t xml:space="preserve">2024-25</t>
  </si>
  <si>
    <t xml:space="preserve">2023-24</t>
  </si>
  <si>
    <t xml:space="preserve"> (a) Authorised :-</t>
  </si>
  <si>
    <t xml:space="preserve">300000 Equity Shares of  Rs.10/- each</t>
  </si>
  <si>
    <t xml:space="preserve">(Previous year  300000 Equity Shares of Rs.10/-each)</t>
  </si>
  <si>
    <t xml:space="preserve">(b) Issued and subscribed capital</t>
  </si>
  <si>
    <r>
      <rPr>
        <sz val="10"/>
        <rFont val="Book Antiqua"/>
        <family val="1"/>
      </rPr>
      <t xml:space="preserve">300000 Equity Shares of</t>
    </r>
    <r>
      <rPr>
        <sz val="10"/>
        <rFont val="Rupee"/>
        <family val="2"/>
      </rPr>
      <t xml:space="preserve">  Rs.</t>
    </r>
    <r>
      <rPr>
        <sz val="10"/>
        <rFont val="Book Antiqua"/>
        <family val="1"/>
      </rPr>
      <t xml:space="preserve">10/- each</t>
    </r>
  </si>
  <si>
    <r>
      <rPr>
        <sz val="10"/>
        <rFont val="Book Antiqua"/>
        <family val="1"/>
      </rPr>
      <t xml:space="preserve">(Previous year 300000 Equity Shares of</t>
    </r>
    <r>
      <rPr>
        <sz val="10"/>
        <rFont val="Rupee"/>
        <family val="2"/>
      </rPr>
      <t xml:space="preserve"> Rs.</t>
    </r>
    <r>
      <rPr>
        <sz val="10"/>
        <rFont val="Book Antiqua"/>
        <family val="1"/>
      </rPr>
      <t xml:space="preserve">10/-each)</t>
    </r>
  </si>
  <si>
    <t xml:space="preserve"> (c) Fully Paid up Capital :-  </t>
  </si>
  <si>
    <t xml:space="preserve">Total paid up capital</t>
  </si>
  <si>
    <t xml:space="preserve">(d) During the period of five years immediately preceding the date as at which balance sheet is prepaared:</t>
  </si>
  <si>
    <t xml:space="preserve">    (i) Nil equity shares bought back in the financial year 2024-25</t>
  </si>
  <si>
    <t xml:space="preserve">(e) Shares held by shareholder holding more than 5% share in company</t>
  </si>
  <si>
    <t xml:space="preserve">particulars</t>
  </si>
  <si>
    <t xml:space="preserve">No. of shares</t>
  </si>
  <si>
    <t xml:space="preserve">% holding in the class</t>
  </si>
  <si>
    <t xml:space="preserve">Equity</t>
  </si>
  <si>
    <t xml:space="preserve">Smt Padmini Bhatia</t>
  </si>
  <si>
    <t xml:space="preserve"> (f)Reconciliation of outstanding shares at the beginning and at the end of the reporting period</t>
  </si>
  <si>
    <t xml:space="preserve">  at the beginning of the period</t>
  </si>
  <si>
    <t xml:space="preserve"> Shares bought back during the year</t>
  </si>
  <si>
    <t xml:space="preserve">  Outstanding at the end of the period</t>
  </si>
  <si>
    <t xml:space="preserve">(g) The  company has only one class of equity shares having a par value of Rs. 10/- per share. Each holder of equity shares is entitled to one vote per share. In the event of liquidation, the equity shareholders are eligible to receive the remaining assets of the company after distribution of all preferential amounts, in proportion to their shareholding. </t>
  </si>
  <si>
    <t xml:space="preserve">h. Shareholding of promotors</t>
  </si>
  <si>
    <t xml:space="preserve">Shares held by promotors at the end of the year</t>
  </si>
  <si>
    <t xml:space="preserve">% change during the year</t>
  </si>
  <si>
    <t xml:space="preserve">    Promptor's name</t>
  </si>
  <si>
    <t xml:space="preserve">No. Of Shares</t>
  </si>
  <si>
    <t xml:space="preserve">% of total shares</t>
  </si>
  <si>
    <t xml:space="preserve">Harshwardhan Bhatia</t>
  </si>
  <si>
    <t xml:space="preserve">Padmini Bhatia</t>
  </si>
  <si>
    <t xml:space="preserve">Total</t>
  </si>
  <si>
    <t xml:space="preserve">Reserves and surplus</t>
  </si>
  <si>
    <t xml:space="preserve">(a) Capital Reserve</t>
  </si>
  <si>
    <t xml:space="preserve">Opening Balance</t>
  </si>
  <si>
    <t xml:space="preserve">Movement During the year</t>
  </si>
  <si>
    <t xml:space="preserve">Closing balance</t>
  </si>
  <si>
    <t xml:space="preserve">Security Premium Account</t>
  </si>
  <si>
    <t xml:space="preserve">Surplus(deficit) in the statement of Profit &amp; Loss</t>
  </si>
  <si>
    <t xml:space="preserve">Balance as per last financial  statement</t>
  </si>
  <si>
    <t xml:space="preserve">Profit(loss) during the year</t>
  </si>
  <si>
    <t xml:space="preserve">Less: Appropriations</t>
  </si>
  <si>
    <t xml:space="preserve">Net surplus in the statement of profit and loss</t>
  </si>
  <si>
    <t xml:space="preserve">Total reserves and surplus</t>
  </si>
  <si>
    <t xml:space="preserve">Long-term borrowings</t>
  </si>
  <si>
    <t xml:space="preserve">Non-current portion</t>
  </si>
  <si>
    <t xml:space="preserve">Current maturities</t>
  </si>
  <si>
    <t xml:space="preserve">Term loans</t>
  </si>
  <si>
    <t xml:space="preserve">From Banks </t>
  </si>
  <si>
    <t xml:space="preserve">Secured  :</t>
  </si>
  <si>
    <t xml:space="preserve">PNB Housing Finance- LAP</t>
  </si>
  <si>
    <t xml:space="preserve">Unsecured Loans : </t>
  </si>
  <si>
    <t xml:space="preserve">Loans and advances from non related parties</t>
  </si>
  <si>
    <t xml:space="preserve">Loans and advances from related parties</t>
  </si>
  <si>
    <t xml:space="preserve">The above amount includes:</t>
  </si>
  <si>
    <t xml:space="preserve">Secured borrowings</t>
  </si>
  <si>
    <t xml:space="preserve">Unsecured borrowings</t>
  </si>
  <si>
    <t xml:space="preserve">Amount disclosed under the head current liabilities</t>
  </si>
  <si>
    <t xml:space="preserve">Net Amount</t>
  </si>
  <si>
    <t xml:space="preserve">The amount guarantted by directors</t>
  </si>
  <si>
    <t xml:space="preserve">The amount guarantted by others</t>
  </si>
  <si>
    <t xml:space="preserve">Term Loans from Bank </t>
  </si>
  <si>
    <t xml:space="preserve"> A) Term Loan from  PNB Housing Finance Limited :</t>
  </si>
  <si>
    <t xml:space="preserve">a. Term Loan against Property from PNB Housing Finance Ltd. : Originally sanction loan is Rs. 180.50 lacs. The loan is repayable in 180 monthly instalments commencing from  Nov 2017 . The term loan is primarily secured against equitable mortgage of Residential Property at Galaxy Hosuing Co Op Society , A- 082 , Ashiyana St. John Baptist Road , Bandra , Mumbai and Personal gutantee given by the all the directors </t>
  </si>
  <si>
    <t xml:space="preserve">b. There was  continuing default in repayment of any loan and interest of the bank and hence loan is rescheduled by Bank</t>
  </si>
  <si>
    <t xml:space="preserve">Deferred tax liabilities/assets (net) </t>
  </si>
  <si>
    <t xml:space="preserve">Deferred tax Liablities </t>
  </si>
  <si>
    <t xml:space="preserve">    Timing difference on account of Depreciation </t>
  </si>
  <si>
    <t xml:space="preserve">Deferred tax asset</t>
  </si>
  <si>
    <t xml:space="preserve">    Timing difference on account of</t>
  </si>
  <si>
    <t xml:space="preserve">    Timing difference on account of Depreciation and Losses </t>
  </si>
  <si>
    <t xml:space="preserve">Net Deferred Tax Liablitiy /(Assets)</t>
  </si>
  <si>
    <t xml:space="preserve">Deferred tax is provided on timing differences between taxable income and accounting income measured using tax rates and tax laws that have been enacted or substantively enacted by the Balance Sheet date. Deferred tax assets are recognized only if there is a virtual/reasonable certainty, as applicable, in keeping with Accounting Standard 22 on ‘Accounting for Taxes on Income’ that there will be sufficient future taxable income available to realise such assets. Deferred tax assets are reviewed for the appropriateness of their respective carrying amount at each Balance Sheet date . Deferred Tax Assets in respect of unabsorbed depreciation and business losses have been recognized as these would be available as set off in future years on reversal of deferred tax liability representing depreciation has been taken into account up to the reversal of last year provision of differed tax liability. As per accoutring policy adopted by the company , in case of any Differed Tax assets has been recognized in the books of accounts then same has not been recorded in the books of accounts. </t>
  </si>
  <si>
    <t xml:space="preserve">Short term borrowings</t>
  </si>
  <si>
    <t xml:space="preserve">Loans repayable on demand</t>
  </si>
  <si>
    <t xml:space="preserve">Current maturities of long term debts  :</t>
  </si>
  <si>
    <t xml:space="preserve">Instalment Due with in year of Term Loans taken from PNB Housing Ltd</t>
  </si>
  <si>
    <t xml:space="preserve">Trade Payable due for payment</t>
  </si>
  <si>
    <t xml:space="preserve">Outstanding for following periods from due date of payment</t>
  </si>
  <si>
    <t xml:space="preserve">Not due</t>
  </si>
  <si>
    <t xml:space="preserve">Less than 1 year</t>
  </si>
  <si>
    <t xml:space="preserve">1-2 years</t>
  </si>
  <si>
    <t xml:space="preserve">2-3 years</t>
  </si>
  <si>
    <t xml:space="preserve">MSME</t>
  </si>
  <si>
    <t xml:space="preserve">Others</t>
  </si>
  <si>
    <t xml:space="preserve">Outstanding fo following periods from due date of payment</t>
  </si>
  <si>
    <t xml:space="preserve">Other Current liabilities</t>
  </si>
  <si>
    <t xml:space="preserve">T.D.S./T.C.S. Payable  :</t>
  </si>
  <si>
    <t xml:space="preserve">Advances from Customers</t>
  </si>
  <si>
    <t xml:space="preserve">Professional tax payable</t>
  </si>
  <si>
    <t xml:space="preserve">Audit Fees Payable</t>
  </si>
  <si>
    <t xml:space="preserve">News paper and Periodicals </t>
  </si>
  <si>
    <t xml:space="preserve">Electricity Bill Payable</t>
  </si>
  <si>
    <t xml:space="preserve">CGST Reverse Charge</t>
  </si>
  <si>
    <t xml:space="preserve">SGST Reverse Charge</t>
  </si>
  <si>
    <t xml:space="preserve">SGST Payable</t>
  </si>
  <si>
    <t xml:space="preserve">GST Payable</t>
  </si>
  <si>
    <t xml:space="preserve">Employee Related :</t>
  </si>
  <si>
    <t xml:space="preserve">Salaries and Wages</t>
  </si>
  <si>
    <t xml:space="preserve">Director Remunaration Payable</t>
  </si>
  <si>
    <t xml:space="preserve">Short term provisions</t>
  </si>
  <si>
    <t xml:space="preserve">for Income Tax </t>
  </si>
  <si>
    <t xml:space="preserve">   Less: Advance tax/TDS</t>
  </si>
  <si>
    <t xml:space="preserve">Long Term Loans and advances</t>
  </si>
  <si>
    <t xml:space="preserve">Capital Advances</t>
  </si>
  <si>
    <t xml:space="preserve">Unsecured, Considered good</t>
  </si>
  <si>
    <t xml:space="preserve">                    Other loans and advances includes:</t>
  </si>
  <si>
    <t xml:space="preserve">Loans to employees</t>
  </si>
  <si>
    <t xml:space="preserve">Non-current assets</t>
  </si>
  <si>
    <t xml:space="preserve">A.  Non-current investments :</t>
  </si>
  <si>
    <t xml:space="preserve">Sub Total</t>
  </si>
  <si>
    <t xml:space="preserve">B. Other Non-current assets</t>
  </si>
  <si>
    <t xml:space="preserve">     F.D.R.WITH SALES TAX</t>
  </si>
  <si>
    <t xml:space="preserve">     Deposit With M. P. E. B</t>
  </si>
  <si>
    <t xml:space="preserve">Total of non current assets</t>
  </si>
  <si>
    <t xml:space="preserve">INVENTORIES</t>
  </si>
  <si>
    <t xml:space="preserve">valued at lower of cost and net realisable value using FIFO </t>
  </si>
  <si>
    <t xml:space="preserve"> cost formulae except in case of wastage, which is valued at net realisable value</t>
  </si>
  <si>
    <t xml:space="preserve">Raw Materials</t>
  </si>
  <si>
    <t xml:space="preserve">Work-in-Progress</t>
  </si>
  <si>
    <t xml:space="preserve">Stock in Trade</t>
  </si>
  <si>
    <t xml:space="preserve">Stores and Spares, consumables</t>
  </si>
  <si>
    <t xml:space="preserve">Tools and Dies</t>
  </si>
  <si>
    <t xml:space="preserve">Details of inventory</t>
  </si>
  <si>
    <t xml:space="preserve">Work in Progress</t>
  </si>
  <si>
    <t xml:space="preserve">Finished goods</t>
  </si>
  <si>
    <t xml:space="preserve">Traded Goods</t>
  </si>
  <si>
    <t xml:space="preserve">TRADE RECEIVABLES</t>
  </si>
  <si>
    <t xml:space="preserve">Trade Receivable ageing schedule for curent financial year 2024-25</t>
  </si>
  <si>
    <t xml:space="preserve">Trade Receivables due (Outstanding for following perionds from due date of payment)</t>
  </si>
  <si>
    <t xml:space="preserve">(i) Undisputed Trade receivables - Considered good</t>
  </si>
  <si>
    <t xml:space="preserve">(ii) Undisputed Trade receivables - Considered doubtful</t>
  </si>
  <si>
    <t xml:space="preserve">(iii) Disputed Trade receivables - Considered good</t>
  </si>
  <si>
    <t xml:space="preserve">(iv) Disputed Trade receivables - Considered doubtful</t>
  </si>
  <si>
    <t xml:space="preserve">Not Due</t>
  </si>
  <si>
    <t xml:space="preserve">Less than 6 months</t>
  </si>
  <si>
    <t xml:space="preserve">6 months - 1 Year</t>
  </si>
  <si>
    <t xml:space="preserve">1-2 Years</t>
  </si>
  <si>
    <t xml:space="preserve">2-3 Years</t>
  </si>
  <si>
    <t xml:space="preserve">More than 3 Years</t>
  </si>
  <si>
    <t xml:space="preserve">Less Provision for doubtful debts</t>
  </si>
  <si>
    <t xml:space="preserve">Net Trade Receivables</t>
  </si>
  <si>
    <t xml:space="preserve">Trade Receivable ageing schedule for previous financial year 2023-24</t>
  </si>
  <si>
    <t xml:space="preserve">CASH AND CASH EQUIVALENTS</t>
  </si>
  <si>
    <t xml:space="preserve">Balances with banks</t>
  </si>
  <si>
    <t xml:space="preserve">OTHER BANK BALANCES</t>
  </si>
  <si>
    <t xml:space="preserve">Other than cash equivelants including interest accrued on term deposits</t>
  </si>
  <si>
    <t xml:space="preserve">Out of the above:</t>
  </si>
  <si>
    <t xml:space="preserve">Balances with bank held as margin money or security against the borrowings, guarantees or other commitments</t>
  </si>
  <si>
    <t xml:space="preserve">Amount with more than twelve months maturity</t>
  </si>
  <si>
    <t xml:space="preserve">Amount earmearked for payment of borrowings, guarantees or other commitments</t>
  </si>
  <si>
    <t xml:space="preserve">SHORT TERM LOANS AND ADVANCES</t>
  </si>
  <si>
    <t xml:space="preserve">Loans and advances to parties other than related ones:</t>
  </si>
  <si>
    <t xml:space="preserve">Advances to suppliers</t>
  </si>
  <si>
    <t xml:space="preserve">Prepaid Expenses</t>
  </si>
  <si>
    <t xml:space="preserve">TDS Recoverable from Bank</t>
  </si>
  <si>
    <t xml:space="preserve">Income Tax refundable - Current </t>
  </si>
  <si>
    <t xml:space="preserve">TCS (Deducted)</t>
  </si>
  <si>
    <t xml:space="preserve">GST advance/ refundable</t>
  </si>
  <si>
    <t xml:space="preserve">Loans and advances to parties other than related ones includes:</t>
  </si>
  <si>
    <t xml:space="preserve">Unsecured, considered good</t>
  </si>
  <si>
    <t xml:space="preserve">REVENUE FROM OPERATIONS</t>
  </si>
  <si>
    <t xml:space="preserve">Sale of Products (Goods Manufactured) :</t>
  </si>
  <si>
    <t xml:space="preserve">Doemstic</t>
  </si>
  <si>
    <t xml:space="preserve">Export </t>
  </si>
  <si>
    <t xml:space="preserve">Sale of products (Goods traded)</t>
  </si>
  <si>
    <t xml:space="preserve">Supply of services (Job Work)</t>
  </si>
  <si>
    <t xml:space="preserve">Other Operating revenues</t>
  </si>
  <si>
    <t xml:space="preserve">Details of sales of products</t>
  </si>
  <si>
    <t xml:space="preserve">A. Goods Manufactured</t>
  </si>
  <si>
    <t xml:space="preserve">B. Goods traded - Diamond ornaments and Jewellery </t>
  </si>
  <si>
    <t xml:space="preserve">C Details of sales of services</t>
  </si>
  <si>
    <t xml:space="preserve">A. Processing Charges</t>
  </si>
  <si>
    <t xml:space="preserve">Job Work</t>
  </si>
  <si>
    <t xml:space="preserve">D. Other operating Revenues</t>
  </si>
  <si>
    <t xml:space="preserve">OTHER INCOME</t>
  </si>
  <si>
    <t xml:space="preserve">Interest Received</t>
  </si>
  <si>
    <t xml:space="preserve">Interest received (IT Refund)</t>
  </si>
  <si>
    <t xml:space="preserve">COST OF MATERIALS  CONSUMED</t>
  </si>
  <si>
    <t xml:space="preserve">Raw Materials and components Consumed</t>
  </si>
  <si>
    <t xml:space="preserve">Opening Stock</t>
  </si>
  <si>
    <t xml:space="preserve">Add : Purchases of raw material</t>
  </si>
  <si>
    <t xml:space="preserve">Add: Expenses on Purchases</t>
  </si>
  <si>
    <t xml:space="preserve">         Freight</t>
  </si>
  <si>
    <t xml:space="preserve">         Transport and Octroi</t>
  </si>
  <si>
    <t xml:space="preserve">         Rate and weight difference, and discount</t>
  </si>
  <si>
    <t xml:space="preserve">Less : Closing Stock</t>
  </si>
  <si>
    <t xml:space="preserve">Consumption during the year</t>
  </si>
  <si>
    <t xml:space="preserve">Store , Spares and other Raw material Consumed</t>
  </si>
  <si>
    <t xml:space="preserve">Add : Purchases of Consumables </t>
  </si>
  <si>
    <t xml:space="preserve">Total Materail Consumed </t>
  </si>
  <si>
    <t xml:space="preserve">A. Purchases Of Raw Material</t>
  </si>
  <si>
    <t xml:space="preserve">TOTAL PURCHASE ( MFG.)</t>
  </si>
  <si>
    <t xml:space="preserve">Purchases of stock-in-trade</t>
  </si>
  <si>
    <t xml:space="preserve">Traded goods</t>
  </si>
  <si>
    <t xml:space="preserve">Less : Discount </t>
  </si>
  <si>
    <t xml:space="preserve">Changes in inventories of finished goods, work in </t>
  </si>
  <si>
    <t xml:space="preserve">progress and stock-in-trade</t>
  </si>
  <si>
    <t xml:space="preserve">Inventories at the end of the year</t>
  </si>
  <si>
    <t xml:space="preserve">Work in Process</t>
  </si>
  <si>
    <t xml:space="preserve">Goods in Trade</t>
  </si>
  <si>
    <t xml:space="preserve">Finished Goods</t>
  </si>
  <si>
    <t xml:space="preserve">Wastage</t>
  </si>
  <si>
    <t xml:space="preserve">Total (A)</t>
  </si>
  <si>
    <t xml:space="preserve">Inventories at the beginning of the year</t>
  </si>
  <si>
    <t xml:space="preserve">Finished Goods </t>
  </si>
  <si>
    <t xml:space="preserve">Total (B)</t>
  </si>
  <si>
    <t xml:space="preserve">Net increase/decrease</t>
  </si>
  <si>
    <t xml:space="preserve">Total (B-A)</t>
  </si>
  <si>
    <t xml:space="preserve">EMPLOYEES BENEFIT EXPENSES</t>
  </si>
  <si>
    <t xml:space="preserve">Salaries to Staff </t>
  </si>
  <si>
    <t xml:space="preserve">Directors salary</t>
  </si>
  <si>
    <t xml:space="preserve">FINANCE COST</t>
  </si>
  <si>
    <t xml:space="preserve">Interest Expense   on :</t>
  </si>
  <si>
    <t xml:space="preserve">Interest on Business Loan </t>
  </si>
  <si>
    <t xml:space="preserve">Interest on Incom Tax and TDS</t>
  </si>
  <si>
    <t xml:space="preserve">Unsecured Loans from related parties </t>
  </si>
  <si>
    <t xml:space="preserve">Depreciation and amortisation</t>
  </si>
  <si>
    <t xml:space="preserve">On tangible assets</t>
  </si>
  <si>
    <t xml:space="preserve">On intangible assets</t>
  </si>
  <si>
    <t xml:space="preserve">OTHER EXPENSES</t>
  </si>
  <si>
    <t xml:space="preserve">Administrative and General Expenses :</t>
  </si>
  <si>
    <t xml:space="preserve">Advertisement</t>
  </si>
  <si>
    <t xml:space="preserve">Bank Commission &amp; Charges</t>
  </si>
  <si>
    <t xml:space="preserve">Car Running Exp</t>
  </si>
  <si>
    <t xml:space="preserve">Certification and Hallmarking &amp; Grading Charges</t>
  </si>
  <si>
    <t xml:space="preserve">Conveyance </t>
  </si>
  <si>
    <t xml:space="preserve">Exhibition Exp</t>
  </si>
  <si>
    <t xml:space="preserve">General Expenses</t>
  </si>
  <si>
    <t xml:space="preserve">GST late filing Fees</t>
  </si>
  <si>
    <t xml:space="preserve">Insurance Exp.</t>
  </si>
  <si>
    <t xml:space="preserve">Labour Charges</t>
  </si>
  <si>
    <t xml:space="preserve">Legal &amp; Professional </t>
  </si>
  <si>
    <t xml:space="preserve">License Fees</t>
  </si>
  <si>
    <t xml:space="preserve">News paper</t>
  </si>
  <si>
    <t xml:space="preserve">Office Exp</t>
  </si>
  <si>
    <t xml:space="preserve">Office Rent</t>
  </si>
  <si>
    <t xml:space="preserve">Packing Material</t>
  </si>
  <si>
    <t xml:space="preserve">Filing Fees and Penalty on ROC</t>
  </si>
  <si>
    <t xml:space="preserve">Postage &amp; Courier </t>
  </si>
  <si>
    <t xml:space="preserve">Property Tax</t>
  </si>
  <si>
    <t xml:space="preserve">Professional Tax</t>
  </si>
  <si>
    <t xml:space="preserve">Repair &amp; Maint. </t>
  </si>
  <si>
    <t xml:space="preserve">Showroom Power</t>
  </si>
  <si>
    <t xml:space="preserve">Software Expense</t>
  </si>
  <si>
    <t xml:space="preserve">Staff and labour welfare</t>
  </si>
  <si>
    <t xml:space="preserve">Stationery &amp; Printing</t>
  </si>
  <si>
    <t xml:space="preserve">Sundry Balances W/o</t>
  </si>
  <si>
    <t xml:space="preserve">Security Exp</t>
  </si>
  <si>
    <t xml:space="preserve">Travelling Charges</t>
  </si>
  <si>
    <t xml:space="preserve">Payment to auditors:</t>
  </si>
  <si>
    <t xml:space="preserve">      as auditors</t>
  </si>
  <si>
    <t xml:space="preserve">      for other services</t>
  </si>
  <si>
    <t xml:space="preserve">CURRENT TAX</t>
  </si>
  <si>
    <t xml:space="preserve">Tax on Current years taxable income- MAT</t>
  </si>
  <si>
    <t xml:space="preserve">Prior Year Taxation adjustment</t>
  </si>
  <si>
    <t xml:space="preserve">EARNING PER SHARE</t>
  </si>
  <si>
    <t xml:space="preserve">Calculation of Basic  and Diluted EPS:</t>
  </si>
  <si>
    <t xml:space="preserve">Profit(loss) after tax</t>
  </si>
  <si>
    <t xml:space="preserve">Net Profit (loss) for calculation of basic EPS</t>
  </si>
  <si>
    <t xml:space="preserve">Weighted average number of equity shares </t>
  </si>
  <si>
    <t xml:space="preserve">Basic EPS</t>
  </si>
  <si>
    <t xml:space="preserve">Calculation of Diluted EPS:</t>
  </si>
  <si>
    <t xml:space="preserve">Diluted EPS</t>
  </si>
  <si>
    <t xml:space="preserve"> Previous year figures have been regrouped  or rearranged wherever necessary to confirm to current year's .  classification and make them comparable</t>
  </si>
  <si>
    <t xml:space="preserve">  Contingent Liabilities to the extent not provided for</t>
  </si>
  <si>
    <t xml:space="preserve">Claim against Company not acknowledged as debts.</t>
  </si>
  <si>
    <t xml:space="preserve">            In respect of TDS</t>
  </si>
  <si>
    <t xml:space="preserve">            In respect of Provident Fund</t>
  </si>
  <si>
    <t xml:space="preserve">Guarantees</t>
  </si>
  <si>
    <t xml:space="preserve">other money for which the company is contingently liable</t>
  </si>
  <si>
    <t xml:space="preserve">           In respect of Excise Matters</t>
  </si>
  <si>
    <t xml:space="preserve">            In respect of CST</t>
  </si>
  <si>
    <t xml:space="preserve">  Commitments to the extent not provided for</t>
  </si>
  <si>
    <t xml:space="preserve"> Estimated amount of contracts remaining to be executed on capital account and not provided for</t>
  </si>
  <si>
    <t xml:space="preserve">Others commitments</t>
  </si>
  <si>
    <t xml:space="preserve">Additioonal Regulatory Information</t>
  </si>
  <si>
    <t xml:space="preserve">(i) Title Dees of Immovable Property not held in name of the company other than properties where the company is the lessee and the lease agreements are duly executed in favour of the lessee) whose title deeds are not held in the name of the company and where such immovable property is jointly held with others, details are given to the extent of companny's share.</t>
  </si>
  <si>
    <t xml:space="preserve">Relevant line item in the Balance-Sheet</t>
  </si>
  <si>
    <t xml:space="preserve">Description of item of property</t>
  </si>
  <si>
    <t xml:space="preserve">Gross carrying value</t>
  </si>
  <si>
    <t xml:space="preserve">Titel Deeds held in the name of</t>
  </si>
  <si>
    <t xml:space="preserve">Whether title deed holder is a promoter, director or relative of promoter/director or employee of promoter/ director</t>
  </si>
  <si>
    <t xml:space="preserve">Owned</t>
  </si>
  <si>
    <t xml:space="preserve">Land</t>
  </si>
  <si>
    <t xml:space="preserve">Not Applicable</t>
  </si>
  <si>
    <t xml:space="preserve">Building</t>
  </si>
  <si>
    <t xml:space="preserve">Investment Property</t>
  </si>
  <si>
    <t xml:space="preserve">Other </t>
  </si>
  <si>
    <t xml:space="preserve">(ii) The company has not  revalued its property, plant and equipment.</t>
  </si>
  <si>
    <t xml:space="preserve">(iii) No Loans and advances in the nature of loans granted to promoters, directors and other related parties</t>
  </si>
  <si>
    <t xml:space="preserve">(iv) There is no Capital Work in Progress at the end of the year .</t>
  </si>
  <si>
    <t xml:space="preserve">(v) There is no Intangible assets under developmnet.</t>
  </si>
  <si>
    <t xml:space="preserve">(vi) No proceedings have been initiated or pending against the company, under Prohibition of Banami Property Transaction Act.</t>
  </si>
  <si>
    <t xml:space="preserve">(vii) The company has borrowings from the banks or financial institutions on the basis of security of current assets. </t>
  </si>
  <si>
    <t xml:space="preserve"> (a) Quarterly returns or assessments of current assets filed by the company with banks or financial institutions are in agreement  with books of accounts.</t>
  </si>
  <si>
    <t xml:space="preserve"> (a) Quarterly returns or assessments of current assets filed by the company with banks or financial institutions are not  in agreement  with books of accounts. Following are the summary of reconciliation and reasons of material discrepancies.</t>
  </si>
  <si>
    <t xml:space="preserve">(viii) The company was not declared wilful defaulter by any  Bank/Financial Institution/other lender. </t>
  </si>
  <si>
    <t xml:space="preserve">(ix) Relationship with struck off Companies :   Nil</t>
  </si>
  <si>
    <t xml:space="preserve">(x) Registration of charges or satisfaction with Registrar of Companies</t>
  </si>
  <si>
    <t xml:space="preserve">No Charge registration or satisfaction was pending on the date of balance-sheet.</t>
  </si>
  <si>
    <t xml:space="preserve">(xi) Compliance with number of layers of companies</t>
  </si>
  <si>
    <t xml:space="preserve">The company has no holding or subsidiary Company.</t>
  </si>
  <si>
    <t xml:space="preserve">(xii) Ratios</t>
  </si>
  <si>
    <t xml:space="preserve">Ratio</t>
  </si>
  <si>
    <t xml:space="preserve">Items included in numerator</t>
  </si>
  <si>
    <t xml:space="preserve">Items included in denomenator</t>
  </si>
  <si>
    <t xml:space="preserve">Diffreance </t>
  </si>
  <si>
    <t xml:space="preserve">Change in %</t>
  </si>
  <si>
    <t xml:space="preserve">a)Current Ratio</t>
  </si>
  <si>
    <t xml:space="preserve">Current Assets</t>
  </si>
  <si>
    <t xml:space="preserve">Current Liabilities</t>
  </si>
  <si>
    <t xml:space="preserve"> b) Return on Equity Ratio</t>
  </si>
  <si>
    <t xml:space="preserve">Profit after tax</t>
  </si>
  <si>
    <t xml:space="preserve">Average shareholders' equity</t>
  </si>
  <si>
    <t xml:space="preserve"> c) Inventory turnover Ratio  </t>
  </si>
  <si>
    <t xml:space="preserve">Sales</t>
  </si>
  <si>
    <t xml:space="preserve">average inventory</t>
  </si>
  <si>
    <t xml:space="preserve">d) Debt Equity Ratio</t>
  </si>
  <si>
    <t xml:space="preserve">Total Debt</t>
  </si>
  <si>
    <t xml:space="preserve">Shareholders' Equity</t>
  </si>
  <si>
    <t xml:space="preserve">e) Debt Service Coverage Ratio</t>
  </si>
  <si>
    <t xml:space="preserve">Net Profit + depreciation + loss on sale of PPE + Interest on term loan</t>
  </si>
  <si>
    <t xml:space="preserve">Interest on term loan+repayment of principal</t>
  </si>
  <si>
    <t xml:space="preserve">f) Trade Receivables Turnover Ratio</t>
  </si>
  <si>
    <t xml:space="preserve">Net credit sales</t>
  </si>
  <si>
    <t xml:space="preserve">Average accounts receivables</t>
  </si>
  <si>
    <t xml:space="preserve">g) Trade Payables Turnover Ratio (Raw Material)</t>
  </si>
  <si>
    <t xml:space="preserve">Net Credit Purchase</t>
  </si>
  <si>
    <t xml:space="preserve">Average trade payables</t>
  </si>
  <si>
    <t xml:space="preserve">h) Net Capital Turnover Ratio</t>
  </si>
  <si>
    <t xml:space="preserve">Net Sales</t>
  </si>
  <si>
    <t xml:space="preserve">Average working capital</t>
  </si>
  <si>
    <t xml:space="preserve">i) Net Profit Ratio</t>
  </si>
  <si>
    <t xml:space="preserve">Net Profit  after tax</t>
  </si>
  <si>
    <t xml:space="preserve">j) Return of capital employed</t>
  </si>
  <si>
    <t xml:space="preserve">Earning before interest and taxes</t>
  </si>
  <si>
    <t xml:space="preserve">Tangible networth+Total debt + deferred tax liability</t>
  </si>
  <si>
    <t xml:space="preserve">k) Return on investment</t>
  </si>
  <si>
    <t xml:space="preserve">NA</t>
  </si>
  <si>
    <t xml:space="preserve">There is change in Current Ratio by more than 25% as compared to preceding year due to in current year currrent liablities was decreased compared to the previous year </t>
  </si>
  <si>
    <t xml:space="preserve">There is a change in the Return on Equity (ROE) ratio of more than 25% compared to the preceding year, due to the company's lower profit in the current year compared to the previous year.</t>
  </si>
  <si>
    <t xml:space="preserve">There is a change in the Inventory Turnover Ratio of more than 25% compared to the preceding year, due to increase in sales and an increase in inventory in the current year compared to the previous year.</t>
  </si>
  <si>
    <t xml:space="preserve">There is a change in the Trade Receivables Turnover Ratio of more than 25% compared to the preceding year, due to a decrease in sales and an decrease in trade receivables in the current year compared to the previous year.</t>
  </si>
  <si>
    <t xml:space="preserve">There is a change in the Net Capital Turnover Ratio of more than 25% compared to the preceding year, due to a increase in sales and an increase in working capital in the current year compared to the previous year.</t>
  </si>
  <si>
    <t xml:space="preserve">There is change inNet Proft Ratio by more than 25% as compared to preceding year due to due to the company's lower profit in the current year compared to the previous year.</t>
  </si>
  <si>
    <t xml:space="preserve">There is change in Return of capital employed by more than 25% as compared to preceding year due to due to the company's lower profit in the current year compared to the previous year.</t>
  </si>
  <si>
    <t xml:space="preserve">(xiii)  Company has not taken new borrowed funds and no share premium was received during the year  which are phibited under  Foreign Exchange Management Act, 1999 (42 of 1999) and Companies Act has been complied with for such transactions and the transactions are not violative of the Prevention of Money-Laundering act, 2002 (15 of 2003).</t>
  </si>
  <si>
    <t xml:space="preserve">Details of Crypto Currency or virtual currency</t>
  </si>
  <si>
    <t xml:space="preserve">Nil</t>
  </si>
  <si>
    <t xml:space="preserve">Details of items of exceptional and extraordinary nature:</t>
  </si>
  <si>
    <t xml:space="preserve">(xiv) The company has not surrendered or disclosed any amount as income duringthe year in the tax assessmentunder the Income Tax Act,1961. </t>
  </si>
  <si>
    <t xml:space="preserve">CIF Value of Import</t>
  </si>
  <si>
    <t xml:space="preserve"> Expenditure in foreign currency</t>
  </si>
  <si>
    <t xml:space="preserve">         Royalty </t>
  </si>
  <si>
    <t xml:space="preserve">The value of consumption of directly imported  &amp; indigenously obtained Raw Materials, Spare parts and components and percentage of each to the total</t>
  </si>
  <si>
    <t xml:space="preserve">%</t>
  </si>
  <si>
    <t xml:space="preserve">        A. Directly imported </t>
  </si>
  <si>
    <t xml:space="preserve">        B. Indigenously obtained</t>
  </si>
  <si>
    <t xml:space="preserve">Spare parts and components</t>
  </si>
  <si>
    <t xml:space="preserve">         A. Directly imported </t>
  </si>
  <si>
    <t xml:space="preserve">  Remittance in Foreign currencies for dividends</t>
  </si>
  <si>
    <t xml:space="preserve">Earning in foreign exchange</t>
  </si>
  <si>
    <t xml:space="preserve">Sales of Goods </t>
  </si>
  <si>
    <t xml:space="preserve">In the opinion of the board, all Assets, other than property, plant and equipments, intangible assets and not current investment have a value on realisation in the ordinary course of business at least equal to the amount at whcin they are stated.</t>
  </si>
  <si>
    <t xml:space="preserve">The balances of Trade Receivables, Trade Payables, Loans and Advances and Advances from Customers are subject to confirmation and consequential adjustment, if any.</t>
  </si>
  <si>
    <t xml:space="preserve">Details relating to micro, small and medium enterpriese (Trade Payables)</t>
  </si>
  <si>
    <t xml:space="preserve">(a) the principal amount  remaining unpaid to any supplier as at the end of  accounting year.</t>
  </si>
  <si>
    <t xml:space="preserve">(b)the interest due on (a) above remaining unpaid to any supplier as at the end of  accounting year.</t>
  </si>
  <si>
    <t xml:space="preserve">(c) the amount of interest paid by the buyer in terms of section 16 of The Micro, Small and Medium Enterprises Development Act, 2006, along with the amount of the payment made to the supplier beyond the appointed day during each accounting year.</t>
  </si>
  <si>
    <t xml:space="preserve">(d) the amount of interest due and payable for the period of delay in making payment (which have been paid but beyond the appointed day) but without adding interest specified under Micro, Small and Medium Enterprises Development Act, 2006 </t>
  </si>
  <si>
    <t xml:space="preserve">(e) the amount of interest accrued and remaining unpaid at the end of accounting year;  </t>
  </si>
  <si>
    <t xml:space="preserve">(f) the amount of further interest, remaining due and payable even in the succeding years, untill such date when the interest dues above are actually paid to the small enterprise, for the purpose of disallowance of a deductible expenditure under section 23 of  the Micro, Small and Medium Enterprises Development Act, 2006</t>
  </si>
  <si>
    <t xml:space="preserve">Related Party Disclosures :-</t>
  </si>
  <si>
    <t xml:space="preserve">A.</t>
  </si>
  <si>
    <t xml:space="preserve">List of related parties where control exists:-</t>
  </si>
  <si>
    <t xml:space="preserve">Holding Company, Subsidiary Company and Fellow Subsidiary Company</t>
  </si>
  <si>
    <t xml:space="preserve">B.</t>
  </si>
  <si>
    <t xml:space="preserve">Key Management Personnel</t>
  </si>
  <si>
    <t xml:space="preserve">Smt Ishipal Bhatia </t>
  </si>
  <si>
    <t xml:space="preserve">C.</t>
  </si>
  <si>
    <t xml:space="preserve">Relatives of Key Management Personnel with whom there was transaction during the year</t>
  </si>
  <si>
    <t xml:space="preserve">D.</t>
  </si>
  <si>
    <t xml:space="preserve">Enterprises over which Key Management  personnel or their relatives are able to exercise significant influence.</t>
  </si>
  <si>
    <t xml:space="preserve">Ashish Bhatia Realties Pvt Ltd</t>
  </si>
  <si>
    <t xml:space="preserve">Hridhay Cars Pvt. Ltd.</t>
  </si>
  <si>
    <t xml:space="preserve">E.</t>
  </si>
  <si>
    <t xml:space="preserve">Transactions/balances outstanding with related parties</t>
  </si>
  <si>
    <t xml:space="preserve">a.</t>
  </si>
  <si>
    <t xml:space="preserve">Sale of goods (Hriday Automobile Pvt Ltd)</t>
  </si>
  <si>
    <t xml:space="preserve">b</t>
  </si>
  <si>
    <t xml:space="preserve">Purchases of goods </t>
  </si>
  <si>
    <t xml:space="preserve">c</t>
  </si>
  <si>
    <t xml:space="preserve">Director's Salary</t>
  </si>
  <si>
    <t xml:space="preserve">d</t>
  </si>
  <si>
    <t xml:space="preserve">Salary to Ralatives</t>
  </si>
  <si>
    <t xml:space="preserve">e</t>
  </si>
  <si>
    <t xml:space="preserve">Interest on Unsecureed Loans </t>
  </si>
  <si>
    <t xml:space="preserve">f</t>
  </si>
  <si>
    <t xml:space="preserve">Rent Paid</t>
  </si>
  <si>
    <t xml:space="preserve">g</t>
  </si>
  <si>
    <t xml:space="preserve">Credit Balances outstanding at the end of the year</t>
  </si>
  <si>
    <t xml:space="preserve">Unsecured loans</t>
  </si>
  <si>
    <t xml:space="preserve">Ashish Bhatia Realities Pvt. Ltd.</t>
  </si>
  <si>
    <t xml:space="preserve">Hriday Automobile Pvt Ltd</t>
  </si>
  <si>
    <t xml:space="preserve">h</t>
  </si>
  <si>
    <t xml:space="preserve">Trade Payables</t>
  </si>
  <si>
    <t xml:space="preserve">“The  Company  is  a  Small  and  Medium  Sized  Company(SMC) as defined in the General Instructions in respect of Accounting Standards notified under the Companies Act, 1956.   Accordingly, the Company has complied with the Accounting Standards as applicable to a Small and Medium Sized Company.”</t>
  </si>
  <si>
    <t xml:space="preserve">The Company's sole reportable business segment is sales of Diamond , Gold and Silver ornaments and jewellery , and the only reportable  geographical segment in India. Consequently the need for separate disclosure as required under accounting standard 17 -"Segment Reporting" is not considered relevant. </t>
  </si>
  <si>
    <t xml:space="preserve">Place : Indore</t>
  </si>
  <si>
    <t xml:space="preserve">TAX LIABILITY U/S 115 JB </t>
  </si>
  <si>
    <t xml:space="preserve">IT</t>
  </si>
  <si>
    <t xml:space="preserve">As per Books</t>
  </si>
  <si>
    <t xml:space="preserve">2012-13</t>
  </si>
  <si>
    <t xml:space="preserve">Gross</t>
  </si>
  <si>
    <t xml:space="preserve">Dep</t>
  </si>
  <si>
    <t xml:space="preserve">DTA</t>
  </si>
  <si>
    <t xml:space="preserve">income </t>
  </si>
  <si>
    <t xml:space="preserve">Net</t>
  </si>
  <si>
    <t xml:space="preserve">adjsutment</t>
  </si>
  <si>
    <t xml:space="preserve">book profit</t>
  </si>
  <si>
    <t xml:space="preserve">mat</t>
  </si>
  <si>
    <t xml:space="preserve">sc</t>
  </si>
  <si>
    <t xml:space="preserve">total</t>
  </si>
  <si>
    <t xml:space="preserve">ed cess</t>
  </si>
  <si>
    <t xml:space="preserve">total tax</t>
  </si>
  <si>
    <t xml:space="preserve">advance tax</t>
  </si>
  <si>
    <t xml:space="preserve">net </t>
  </si>
  <si>
    <t xml:space="preserve">Deffred Tax libilites</t>
  </si>
  <si>
    <t xml:space="preserve">WDV as per IT Act</t>
  </si>
  <si>
    <t xml:space="preserve">WDV as per Copmanies Act</t>
  </si>
  <si>
    <t xml:space="preserve">Difference</t>
  </si>
  <si>
    <t xml:space="preserve">Tax</t>
  </si>
  <si>
    <t xml:space="preserve">Sc</t>
  </si>
  <si>
    <t xml:space="preserve">Cess</t>
  </si>
  <si>
    <t xml:space="preserve">Total liabilites</t>
  </si>
  <si>
    <t xml:space="preserve">assets</t>
  </si>
  <si>
    <t xml:space="preserve">tax</t>
  </si>
  <si>
    <t xml:space="preserve">cess</t>
  </si>
  <si>
    <t xml:space="preserve">net liablity</t>
  </si>
  <si>
    <t xml:space="preserve">Cl. Bal</t>
  </si>
  <si>
    <t xml:space="preserve">to be provided</t>
  </si>
  <si>
    <t xml:space="preserve">INCOM TAX LIABILITY</t>
  </si>
  <si>
    <t xml:space="preserve">PROFIT </t>
  </si>
  <si>
    <t xml:space="preserve">ADD </t>
  </si>
  <si>
    <t xml:space="preserve">DEP AS PER BOOKS</t>
  </si>
  <si>
    <t xml:space="preserve">LESS </t>
  </si>
  <si>
    <t xml:space="preserve">DEP AS PER IT</t>
  </si>
  <si>
    <t xml:space="preserve">c/f loss</t>
  </si>
  <si>
    <t xml:space="preserve">NET PROFT AS PER IT</t>
  </si>
  <si>
    <t xml:space="preserve">TAX</t>
  </si>
  <si>
    <t xml:space="preserve">EC</t>
  </si>
  <si>
    <t xml:space="preserve">TOTAL TAX</t>
  </si>
  <si>
    <t xml:space="preserve">Property, plant and Equipments</t>
  </si>
  <si>
    <t xml:space="preserve">Gross Block</t>
  </si>
  <si>
    <t xml:space="preserve">Deprication</t>
  </si>
  <si>
    <t xml:space="preserve">Net Block</t>
  </si>
  <si>
    <t xml:space="preserve">PARTICULARS</t>
  </si>
  <si>
    <t xml:space="preserve">As at</t>
  </si>
  <si>
    <t xml:space="preserve">Addition</t>
  </si>
  <si>
    <t xml:space="preserve">Subsidy</t>
  </si>
  <si>
    <t xml:space="preserve">Upto </t>
  </si>
  <si>
    <t xml:space="preserve">For the </t>
  </si>
  <si>
    <t xml:space="preserve">Deduction</t>
  </si>
  <si>
    <t xml:space="preserve">Upto</t>
  </si>
  <si>
    <t xml:space="preserve">01.04.2024</t>
  </si>
  <si>
    <t xml:space="preserve">31.03.2025</t>
  </si>
  <si>
    <t xml:space="preserve">Year</t>
  </si>
  <si>
    <t xml:space="preserve">Lease Hold Land</t>
  </si>
  <si>
    <t xml:space="preserve">I Buildings</t>
  </si>
  <si>
    <t xml:space="preserve">Factory Building</t>
  </si>
  <si>
    <t xml:space="preserve">Other Building</t>
  </si>
  <si>
    <t xml:space="preserve">Residential building</t>
  </si>
  <si>
    <t xml:space="preserve">II Plant and Machinery</t>
  </si>
  <si>
    <t xml:space="preserve">Plant and Machinery</t>
  </si>
  <si>
    <t xml:space="preserve">Solar Plant</t>
  </si>
  <si>
    <t xml:space="preserve">Power Saving Equipments</t>
  </si>
  <si>
    <t xml:space="preserve">Electrical Installations</t>
  </si>
  <si>
    <t xml:space="preserve">Laboratory Equipments</t>
  </si>
  <si>
    <t xml:space="preserve">III Furniture and Fixtures</t>
  </si>
  <si>
    <t xml:space="preserve">Furnitures and Fixtures</t>
  </si>
  <si>
    <t xml:space="preserve">IV Vehicles</t>
  </si>
  <si>
    <t xml:space="preserve">Car and other Vehicles</t>
  </si>
  <si>
    <t xml:space="preserve">Scooter</t>
  </si>
  <si>
    <t xml:space="preserve">V Office Equipments</t>
  </si>
  <si>
    <t xml:space="preserve">Office Equipments</t>
  </si>
  <si>
    <t xml:space="preserve">Additions</t>
  </si>
  <si>
    <t xml:space="preserve">Computers</t>
  </si>
  <si>
    <t xml:space="preserve">Mobile and office </t>
  </si>
  <si>
    <t xml:space="preserve">Previous Year </t>
  </si>
  <si>
    <t xml:space="preserve"> CAPITAL WORK IN PROGRESS</t>
  </si>
  <si>
    <t xml:space="preserve">Previous Year</t>
  </si>
  <si>
    <t xml:space="preserve">Grand Total (Current Year) A+B</t>
  </si>
  <si>
    <t xml:space="preserve">Grand Total (Previous Year) A+B</t>
  </si>
  <si>
    <t xml:space="preserve">trafing a/c</t>
  </si>
  <si>
    <t xml:space="preserve">gross profit </t>
  </si>
  <si>
    <t xml:space="preserve">op stock</t>
  </si>
  <si>
    <t xml:space="preserve">sales</t>
  </si>
  <si>
    <t xml:space="preserve">puracahses </t>
  </si>
  <si>
    <t xml:space="preserve">cl stock</t>
  </si>
  <si>
    <t xml:space="preserve">Gorss Profit</t>
  </si>
</sst>
</file>

<file path=xl/styles.xml><?xml version="1.0" encoding="utf-8"?>
<styleSheet xmlns="http://schemas.openxmlformats.org/spreadsheetml/2006/main">
  <numFmts count="23">
    <numFmt numFmtId="164" formatCode="General"/>
    <numFmt numFmtId="165" formatCode="_-* #,##0.00_-;\-* #,##0.00_-;_-* \-??_-;_-@_-"/>
    <numFmt numFmtId="166" formatCode="_-* #,##0.00_-;\-* #,##0.00_-;_-* \-??_-;_-@_-"/>
    <numFmt numFmtId="167" formatCode="_-\£* #,##0.00_-;&quot;-£&quot;* #,##0.00_-;_-\£* \-??_-;_-@_-"/>
    <numFmt numFmtId="168" formatCode="_-\£* #,##0.00_-;&quot;-£&quot;* #,##0.00_-;_-\£* \-??_-;_-@_-"/>
    <numFmt numFmtId="169" formatCode="_-* #,##0.00\ [$€-1]_-;\-* #,##0.00\ [$€-1]_-;_-* \-??\ [$€-1]_-"/>
    <numFmt numFmtId="170" formatCode="_-* #,##0.00\ [$€-1]_-;\-* #,##0.00\ [$€-1]_-;_-* \-??\ [$€-1]_-"/>
    <numFmt numFmtId="171" formatCode="[$-409]#,##0_);[RED]\(#,##0\)"/>
    <numFmt numFmtId="172" formatCode="[$-409]#,##0.00_);[RED]\(#,##0.00\)"/>
    <numFmt numFmtId="173" formatCode="#,##0&quot; F&quot;;[RED]\-#,##0&quot; F&quot;"/>
    <numFmt numFmtId="174" formatCode="#,##0.00&quot; F&quot;;[RED]\-#,##0.00&quot; F&quot;"/>
    <numFmt numFmtId="175" formatCode="0%"/>
    <numFmt numFmtId="176" formatCode="0"/>
    <numFmt numFmtId="177" formatCode="0.00"/>
    <numFmt numFmtId="178" formatCode="0_);\(0\)"/>
    <numFmt numFmtId="179" formatCode="@"/>
    <numFmt numFmtId="180" formatCode="0.00_);\(0.00\)"/>
    <numFmt numFmtId="181" formatCode="[$-409]m/d/yyyy"/>
    <numFmt numFmtId="182" formatCode="0.0000"/>
    <numFmt numFmtId="183" formatCode="#,##0"/>
    <numFmt numFmtId="184" formatCode="General"/>
    <numFmt numFmtId="185" formatCode="_-* #,##0_-;\-* #,##0_-;_-* \-??_-;_-@_-"/>
    <numFmt numFmtId="186" formatCode="[$-409]d\-mmm"/>
  </numFmts>
  <fonts count="59">
    <font>
      <sz val="10"/>
      <color rgb="FF000000"/>
      <name val="Arial"/>
      <family val="2"/>
    </font>
    <font>
      <sz val="10"/>
      <name val="Arial"/>
      <family val="0"/>
    </font>
    <font>
      <sz val="10"/>
      <name val="Arial"/>
      <family val="0"/>
    </font>
    <font>
      <sz val="10"/>
      <name val="Arial"/>
      <family val="0"/>
    </font>
    <font>
      <sz val="11"/>
      <color rgb="FF000000"/>
      <name val="Calibri"/>
      <family val="2"/>
    </font>
    <font>
      <sz val="11"/>
      <color rgb="FFFFFFFF"/>
      <name val="Calibri"/>
      <family val="2"/>
    </font>
    <font>
      <sz val="11"/>
      <color rgb="FF800080"/>
      <name val="Calibri"/>
      <family val="2"/>
    </font>
    <font>
      <b val="true"/>
      <sz val="11"/>
      <color rgb="FFFF9900"/>
      <name val="Calibri"/>
      <family val="2"/>
    </font>
    <font>
      <b val="true"/>
      <sz val="11"/>
      <color rgb="FFFFFFFF"/>
      <name val="Calibri"/>
      <family val="2"/>
    </font>
    <font>
      <sz val="10"/>
      <name val="Arial"/>
      <family val="2"/>
    </font>
    <font>
      <sz val="12"/>
      <name val="Arial"/>
      <family val="2"/>
    </font>
    <font>
      <i val="true"/>
      <sz val="11"/>
      <color rgb="FF808080"/>
      <name val="Calibri"/>
      <family val="2"/>
    </font>
    <font>
      <sz val="11"/>
      <color rgb="FF008000"/>
      <name val="Calibri"/>
      <family val="2"/>
    </font>
    <font>
      <b val="true"/>
      <sz val="15"/>
      <color rgb="FF003366"/>
      <name val="Calibri"/>
      <family val="2"/>
    </font>
    <font>
      <b val="true"/>
      <sz val="15"/>
      <color rgb="FF666699"/>
      <name val="Calibri"/>
      <family val="2"/>
    </font>
    <font>
      <b val="true"/>
      <sz val="13"/>
      <color rgb="FF003366"/>
      <name val="Calibri"/>
      <family val="2"/>
    </font>
    <font>
      <b val="true"/>
      <sz val="13"/>
      <color rgb="FF666699"/>
      <name val="Calibri"/>
      <family val="2"/>
    </font>
    <font>
      <b val="true"/>
      <sz val="11"/>
      <color rgb="FF003366"/>
      <name val="Calibri"/>
      <family val="2"/>
    </font>
    <font>
      <b val="true"/>
      <sz val="11"/>
      <color rgb="FF666699"/>
      <name val="Calibri"/>
      <family val="2"/>
    </font>
    <font>
      <sz val="11"/>
      <color rgb="FF333399"/>
      <name val="Calibri"/>
      <family val="2"/>
    </font>
    <font>
      <b val="true"/>
      <sz val="14"/>
      <name val="Arial"/>
      <family val="2"/>
    </font>
    <font>
      <sz val="11"/>
      <color rgb="FFFF9900"/>
      <name val="Calibri"/>
      <family val="2"/>
    </font>
    <font>
      <sz val="11"/>
      <color rgb="FF993300"/>
      <name val="Calibri"/>
      <family val="2"/>
    </font>
    <font>
      <b val="true"/>
      <sz val="11"/>
      <color rgb="FF333333"/>
      <name val="Calibri"/>
      <family val="2"/>
    </font>
    <font>
      <sz val="24"/>
      <color rgb="FFFFFF00"/>
      <name val="Arial"/>
      <family val="2"/>
    </font>
    <font>
      <b val="true"/>
      <sz val="18"/>
      <color rgb="FF003366"/>
      <name val="Cambria"/>
      <family val="1"/>
    </font>
    <font>
      <b val="true"/>
      <sz val="18"/>
      <color rgb="FF666699"/>
      <name val="Calibri Light"/>
      <family val="2"/>
    </font>
    <font>
      <b val="true"/>
      <sz val="11"/>
      <color rgb="FF000000"/>
      <name val="Calibri"/>
      <family val="2"/>
    </font>
    <font>
      <sz val="11"/>
      <color rgb="FFFF0000"/>
      <name val="Calibri"/>
      <family val="2"/>
    </font>
    <font>
      <sz val="11"/>
      <name val="Arial"/>
      <family val="2"/>
    </font>
    <font>
      <b val="true"/>
      <sz val="10"/>
      <name val="Book Antiqua"/>
      <family val="1"/>
    </font>
    <font>
      <sz val="10"/>
      <name val="Book Antiqua"/>
      <family val="1"/>
    </font>
    <font>
      <b val="true"/>
      <sz val="8"/>
      <name val="Book Antiqua"/>
      <family val="1"/>
    </font>
    <font>
      <b val="true"/>
      <sz val="10"/>
      <name val="Rupee"/>
      <family val="2"/>
    </font>
    <font>
      <b val="true"/>
      <sz val="12"/>
      <name val="Book Antiqua"/>
      <family val="1"/>
    </font>
    <font>
      <b val="true"/>
      <u val="single"/>
      <sz val="10"/>
      <name val="Book Antiqua"/>
      <family val="1"/>
    </font>
    <font>
      <b val="true"/>
      <sz val="11"/>
      <name val="Book Antiqua"/>
      <family val="1"/>
    </font>
    <font>
      <sz val="12"/>
      <name val="Draft 12cpi"/>
      <family val="3"/>
    </font>
    <font>
      <u val="single"/>
      <sz val="10"/>
      <name val="Book Antiqua"/>
      <family val="1"/>
    </font>
    <font>
      <b val="true"/>
      <sz val="9"/>
      <name val="Arial"/>
      <family val="2"/>
    </font>
    <font>
      <sz val="9"/>
      <name val="Arial"/>
      <family val="2"/>
    </font>
    <font>
      <b val="true"/>
      <i val="true"/>
      <sz val="10"/>
      <name val="Book Antiqua"/>
      <family val="1"/>
    </font>
    <font>
      <i val="true"/>
      <sz val="10"/>
      <name val="Book Antiqua"/>
      <family val="1"/>
    </font>
    <font>
      <sz val="10"/>
      <name val="Rupee"/>
      <family val="2"/>
    </font>
    <font>
      <sz val="9"/>
      <name val="Book Antiqua"/>
      <family val="1"/>
    </font>
    <font>
      <sz val="8"/>
      <name val="Book Antiqua"/>
      <family val="1"/>
    </font>
    <font>
      <b val="true"/>
      <u val="single"/>
      <sz val="11"/>
      <name val="Book Antiqua"/>
      <family val="1"/>
    </font>
    <font>
      <sz val="12"/>
      <name val="Garamond"/>
      <family val="1"/>
    </font>
    <font>
      <u val="single"/>
      <sz val="11"/>
      <name val="Book Antiqua"/>
      <family val="1"/>
    </font>
    <font>
      <sz val="11"/>
      <name val="Book Antiqua"/>
      <family val="1"/>
    </font>
    <font>
      <sz val="11"/>
      <name val="Cambria"/>
      <family val="1"/>
    </font>
    <font>
      <sz val="10"/>
      <name val="Cambria"/>
      <family val="1"/>
    </font>
    <font>
      <b val="true"/>
      <sz val="9"/>
      <name val="Book Antiqua"/>
      <family val="1"/>
    </font>
    <font>
      <sz val="10"/>
      <name val="Draft 12cpi"/>
      <family val="3"/>
    </font>
    <font>
      <b val="true"/>
      <sz val="10"/>
      <color rgb="FF000000"/>
      <name val="Book Antiqua"/>
      <family val="1"/>
    </font>
    <font>
      <sz val="10"/>
      <color rgb="FF000000"/>
      <name val="Book Antiqua"/>
      <family val="1"/>
    </font>
    <font>
      <b val="true"/>
      <sz val="9"/>
      <color rgb="FF000000"/>
      <name val="Book Antiqua"/>
      <family val="1"/>
    </font>
    <font>
      <b val="true"/>
      <u val="single"/>
      <sz val="10"/>
      <color rgb="FF000000"/>
      <name val="Book Antiqua"/>
      <family val="1"/>
    </font>
    <font>
      <b val="true"/>
      <u val="single"/>
      <sz val="10"/>
      <color rgb="FFFF0000"/>
      <name val="Book Antiqua"/>
      <family val="1"/>
    </font>
  </fonts>
  <fills count="28">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FFCC99"/>
        <bgColor rgb="FFC0C0C0"/>
      </patternFill>
    </fill>
    <fill>
      <patternFill patternType="solid">
        <fgColor rgb="FFCCFFCC"/>
        <bgColor rgb="FFCCFFFF"/>
      </patternFill>
    </fill>
    <fill>
      <patternFill patternType="solid">
        <fgColor rgb="FFFFFFFF"/>
        <bgColor rgb="FFFFFFCC"/>
      </patternFill>
    </fill>
    <fill>
      <patternFill patternType="solid">
        <fgColor rgb="FFCC99FF"/>
        <bgColor rgb="FF9999FF"/>
      </patternFill>
    </fill>
    <fill>
      <patternFill patternType="solid">
        <fgColor rgb="FFFFFFCC"/>
        <bgColor rgb="FFFFFFFF"/>
      </patternFill>
    </fill>
    <fill>
      <patternFill patternType="solid">
        <fgColor rgb="FFCCFFFF"/>
        <bgColor rgb="FFCCFFFF"/>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C0C0C0"/>
        <bgColor rgb="FFCCCCFF"/>
      </patternFill>
    </fill>
    <fill>
      <patternFill patternType="solid">
        <fgColor rgb="FFFFFF99"/>
        <bgColor rgb="FFFFFFCC"/>
      </patternFill>
    </fill>
    <fill>
      <patternFill patternType="solid">
        <fgColor rgb="FFFFCC00"/>
        <bgColor rgb="FFFFFF00"/>
      </patternFill>
    </fill>
    <fill>
      <patternFill patternType="solid">
        <fgColor rgb="FF0066CC"/>
        <bgColor rgb="FF008080"/>
      </patternFill>
    </fill>
    <fill>
      <patternFill patternType="solid">
        <fgColor rgb="FF33CCCC"/>
        <bgColor rgb="FF00CCFF"/>
      </patternFill>
    </fill>
    <fill>
      <patternFill patternType="solid">
        <fgColor rgb="FF800080"/>
        <bgColor rgb="FF800080"/>
      </patternFill>
    </fill>
    <fill>
      <patternFill patternType="solid">
        <fgColor rgb="FFFF9900"/>
        <bgColor rgb="FFFFCC00"/>
      </patternFill>
    </fill>
    <fill>
      <patternFill patternType="solid">
        <fgColor rgb="FF339966"/>
        <bgColor rgb="FF008080"/>
      </patternFill>
    </fill>
    <fill>
      <patternFill patternType="solid">
        <fgColor rgb="FF333399"/>
        <bgColor rgb="FF003366"/>
      </patternFill>
    </fill>
    <fill>
      <patternFill patternType="solid">
        <fgColor rgb="FFFF0000"/>
        <bgColor rgb="FF993300"/>
      </patternFill>
    </fill>
    <fill>
      <patternFill patternType="solid">
        <fgColor rgb="FFFF6600"/>
        <bgColor rgb="FFFF9900"/>
      </patternFill>
    </fill>
    <fill>
      <patternFill patternType="solid">
        <fgColor rgb="FF969696"/>
        <bgColor rgb="FF808080"/>
      </patternFill>
    </fill>
    <fill>
      <patternFill patternType="solid">
        <fgColor rgb="FFFFFF00"/>
        <bgColor rgb="FFFFFF00"/>
      </patternFill>
    </fill>
    <fill>
      <patternFill patternType="solid">
        <fgColor rgb="FF0000FF"/>
        <bgColor rgb="FF0000FF"/>
      </patternFill>
    </fill>
    <fill>
      <patternFill patternType="solid">
        <fgColor rgb="FF99CC00"/>
        <bgColor rgb="FFFFCC00"/>
      </patternFill>
    </fill>
  </fills>
  <borders count="3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style="thin"/>
      <right style="thin"/>
      <top style="thin"/>
      <bottom style="thin"/>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thick">
        <color rgb="FF99CCFF"/>
      </bottom>
      <diagonal/>
    </border>
    <border diagonalUp="false" diagonalDown="false">
      <left/>
      <right/>
      <top/>
      <bottom style="medium">
        <color rgb="FF0066CC"/>
      </bottom>
      <diagonal/>
    </border>
    <border diagonalUp="false" diagonalDown="false">
      <left/>
      <right/>
      <top/>
      <bottom style="medium">
        <color rgb="FF33CCCC"/>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333399"/>
      </top>
      <bottom style="double">
        <color rgb="FF333399"/>
      </bottom>
      <diagonal/>
    </border>
    <border diagonalUp="false" diagonalDown="false">
      <left style="thin"/>
      <right style="thin"/>
      <top style="double"/>
      <bottom style="thin"/>
      <diagonal/>
    </border>
    <border diagonalUp="false" diagonalDown="false">
      <left style="thin"/>
      <right/>
      <top style="thin"/>
      <bottom/>
      <diagonal/>
    </border>
    <border diagonalUp="false" diagonalDown="false">
      <left/>
      <right/>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style="thin"/>
      <right style="thin"/>
      <top/>
      <bottom style="thin"/>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style="double"/>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top/>
      <bottom style="thin">
        <color rgb="FF333333"/>
      </bottom>
      <diagonal/>
    </border>
    <border diagonalUp="false" diagonalDown="false">
      <left/>
      <right style="thin">
        <color rgb="FF333333"/>
      </right>
      <top style="thin">
        <color rgb="FF333333"/>
      </top>
      <bottom/>
      <diagonal/>
    </border>
    <border diagonalUp="false" diagonalDown="false">
      <left style="thin">
        <color rgb="FF333333"/>
      </left>
      <right style="thin">
        <color rgb="FF333333"/>
      </right>
      <top style="thin">
        <color rgb="FF333333"/>
      </top>
      <bottom/>
      <diagonal/>
    </border>
    <border diagonalUp="false" diagonalDown="false">
      <left style="thin">
        <color rgb="FF333333"/>
      </left>
      <right/>
      <top/>
      <bottom/>
      <diagonal/>
    </border>
    <border diagonalUp="false" diagonalDown="false">
      <left style="thin">
        <color rgb="FF333333"/>
      </left>
      <right/>
      <top/>
      <bottom style="thin">
        <color rgb="FF333333"/>
      </bottom>
      <diagonal/>
    </border>
  </borders>
  <cellStyleXfs count="17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6" borderId="0" applyFont="true" applyBorder="false" applyAlignment="false" applyProtection="false"/>
    <xf numFmtId="164" fontId="4" fillId="7" borderId="0" applyFont="true" applyBorder="false" applyAlignment="false" applyProtection="false"/>
    <xf numFmtId="164" fontId="4" fillId="8"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1" borderId="0" applyFont="true" applyBorder="false" applyAlignment="false" applyProtection="false"/>
    <xf numFmtId="164" fontId="4" fillId="4" borderId="0" applyFont="true" applyBorder="false" applyAlignment="false" applyProtection="false"/>
    <xf numFmtId="164" fontId="4" fillId="12" borderId="0" applyFont="true" applyBorder="false" applyAlignment="false" applyProtection="false"/>
    <xf numFmtId="164" fontId="4" fillId="13" borderId="0" applyFont="true" applyBorder="false" applyAlignment="false" applyProtection="false"/>
    <xf numFmtId="164" fontId="4" fillId="7" borderId="0" applyFont="true" applyBorder="false" applyAlignment="false" applyProtection="false"/>
    <xf numFmtId="164" fontId="4" fillId="14"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5" borderId="0" applyFont="true" applyBorder="false" applyAlignment="false" applyProtection="false"/>
    <xf numFmtId="164" fontId="4" fillId="14" borderId="0" applyFont="true" applyBorder="false" applyAlignment="false" applyProtection="false"/>
    <xf numFmtId="164" fontId="5" fillId="16" borderId="0" applyFont="true" applyBorder="false" applyAlignment="false" applyProtection="false"/>
    <xf numFmtId="164" fontId="5" fillId="17" borderId="0" applyFont="true" applyBorder="false" applyAlignment="false" applyProtection="false"/>
    <xf numFmtId="164" fontId="5" fillId="11" borderId="0" applyFont="true" applyBorder="false" applyAlignment="false" applyProtection="false"/>
    <xf numFmtId="164" fontId="5" fillId="4" borderId="0" applyFont="true" applyBorder="false" applyAlignment="false" applyProtection="false"/>
    <xf numFmtId="164" fontId="5" fillId="12" borderId="0" applyFont="true" applyBorder="false" applyAlignment="false" applyProtection="false"/>
    <xf numFmtId="164" fontId="5" fillId="13" borderId="0" applyFont="true" applyBorder="false" applyAlignment="false" applyProtection="false"/>
    <xf numFmtId="164" fontId="5" fillId="18" borderId="0" applyFont="true" applyBorder="false" applyAlignment="false" applyProtection="false"/>
    <xf numFmtId="164" fontId="5" fillId="14" borderId="0" applyFont="true" applyBorder="false" applyAlignment="false" applyProtection="false"/>
    <xf numFmtId="164" fontId="5" fillId="17" borderId="0" applyFont="true" applyBorder="false" applyAlignment="false" applyProtection="false"/>
    <xf numFmtId="164" fontId="5" fillId="10" borderId="0" applyFont="true" applyBorder="false" applyAlignment="false" applyProtection="false"/>
    <xf numFmtId="164" fontId="5" fillId="19" borderId="0" applyFont="true" applyBorder="false" applyAlignment="false" applyProtection="false"/>
    <xf numFmtId="164" fontId="5" fillId="20" borderId="0" applyFont="true" applyBorder="false" applyAlignment="false" applyProtection="false"/>
    <xf numFmtId="164" fontId="5" fillId="21" borderId="0" applyFont="true" applyBorder="false" applyAlignment="false" applyProtection="false"/>
    <xf numFmtId="164" fontId="5" fillId="21" borderId="0" applyFont="true" applyBorder="false" applyAlignment="false" applyProtection="false"/>
    <xf numFmtId="164" fontId="5" fillId="22" borderId="0" applyFont="true" applyBorder="false" applyAlignment="false" applyProtection="false"/>
    <xf numFmtId="164" fontId="5" fillId="23" borderId="0" applyFont="true" applyBorder="false" applyAlignment="false" applyProtection="false"/>
    <xf numFmtId="164" fontId="5" fillId="20" borderId="0" applyFont="true" applyBorder="false" applyAlignment="false" applyProtection="false"/>
    <xf numFmtId="164" fontId="5" fillId="24" borderId="0" applyFont="true" applyBorder="false" applyAlignment="false" applyProtection="false"/>
    <xf numFmtId="164" fontId="5" fillId="18" borderId="0" applyFont="true" applyBorder="false" applyAlignment="false" applyProtection="false"/>
    <xf numFmtId="164" fontId="5" fillId="15" borderId="0" applyFont="true" applyBorder="false" applyAlignment="false" applyProtection="false"/>
    <xf numFmtId="164" fontId="5" fillId="17" borderId="0" applyFont="true" applyBorder="false" applyAlignment="false" applyProtection="false"/>
    <xf numFmtId="164" fontId="5" fillId="17" borderId="0" applyFont="true" applyBorder="false" applyAlignment="false" applyProtection="false"/>
    <xf numFmtId="164" fontId="5" fillId="23" borderId="0" applyFont="true" applyBorder="false" applyAlignment="false" applyProtection="false"/>
    <xf numFmtId="164" fontId="5" fillId="20" borderId="0" applyFont="true" applyBorder="false" applyAlignment="false" applyProtection="false"/>
    <xf numFmtId="164" fontId="6" fillId="3" borderId="0" applyFont="true" applyBorder="false" applyAlignment="false" applyProtection="false"/>
    <xf numFmtId="164" fontId="6" fillId="3" borderId="0" applyFont="true" applyBorder="false" applyAlignment="false" applyProtection="false"/>
    <xf numFmtId="164" fontId="7" fillId="13" borderId="1" applyFont="true" applyBorder="true" applyAlignment="false" applyProtection="false"/>
    <xf numFmtId="164" fontId="7" fillId="13" borderId="1" applyFont="true" applyBorder="true" applyAlignment="false" applyProtection="false"/>
    <xf numFmtId="164" fontId="8" fillId="24" borderId="2" applyFont="true" applyBorder="true" applyAlignment="false" applyProtection="false"/>
    <xf numFmtId="164" fontId="8" fillId="24" borderId="2" applyFont="true" applyBorder="true" applyAlignment="false" applyProtection="false"/>
    <xf numFmtId="165" fontId="0" fillId="0" borderId="0" applyFont="true" applyBorder="false" applyAlignment="false" applyProtection="false"/>
    <xf numFmtId="166" fontId="9" fillId="0" borderId="0" applyFont="true" applyBorder="false" applyAlignment="false" applyProtection="false"/>
    <xf numFmtId="167" fontId="9" fillId="0" borderId="0" applyFont="true" applyBorder="false" applyAlignment="false" applyProtection="false"/>
    <xf numFmtId="168" fontId="0" fillId="0" borderId="0" applyFont="true" applyBorder="false" applyAlignment="false" applyProtection="false"/>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3" applyFont="true" applyBorder="true" applyAlignment="true" applyProtection="true">
      <alignment horizontal="general" vertical="bottom" textRotation="0" wrapText="false" indent="0" shrinkToFit="false"/>
      <protection locked="true" hidden="false"/>
    </xf>
    <xf numFmtId="164" fontId="10" fillId="0" borderId="3" applyFont="true" applyBorder="true" applyAlignment="true" applyProtection="true">
      <alignment horizontal="general" vertical="bottom" textRotation="0" wrapText="false" indent="0" shrinkToFit="false"/>
      <protection locked="true" hidden="false"/>
    </xf>
    <xf numFmtId="169" fontId="9" fillId="0" borderId="0" applyFont="true" applyBorder="false" applyAlignment="false" applyProtection="false"/>
    <xf numFmtId="170" fontId="0" fillId="0" borderId="0" applyFont="true" applyBorder="false" applyAlignment="false" applyProtection="false"/>
    <xf numFmtId="164" fontId="11" fillId="0" borderId="0" applyFont="true" applyBorder="false" applyAlignment="false" applyProtection="false"/>
    <xf numFmtId="164" fontId="11" fillId="0" borderId="0" applyFont="true" applyBorder="false" applyAlignment="false" applyProtection="false"/>
    <xf numFmtId="164" fontId="12" fillId="5" borderId="0" applyFont="true" applyBorder="false" applyAlignment="false" applyProtection="false"/>
    <xf numFmtId="164" fontId="12" fillId="5" borderId="0" applyFont="true" applyBorder="false" applyAlignment="false" applyProtection="false"/>
    <xf numFmtId="164" fontId="13" fillId="0" borderId="4" applyFont="true" applyBorder="true" applyAlignment="false" applyProtection="false"/>
    <xf numFmtId="164" fontId="14" fillId="0" borderId="4" applyFont="true" applyBorder="true" applyAlignment="false" applyProtection="false"/>
    <xf numFmtId="164" fontId="15" fillId="0" borderId="5" applyFont="true" applyBorder="true" applyAlignment="false" applyProtection="false"/>
    <xf numFmtId="164" fontId="16" fillId="0" borderId="6" applyFont="true" applyBorder="true" applyAlignment="false" applyProtection="false"/>
    <xf numFmtId="164" fontId="17" fillId="0" borderId="7" applyFont="true" applyBorder="true" applyAlignment="false" applyProtection="false"/>
    <xf numFmtId="164" fontId="18" fillId="0" borderId="8" applyFont="true" applyBorder="true" applyAlignment="false" applyProtection="false"/>
    <xf numFmtId="164" fontId="17" fillId="0" borderId="0" applyFont="true" applyBorder="false" applyAlignment="false" applyProtection="false"/>
    <xf numFmtId="164" fontId="18" fillId="0" borderId="0" applyFont="true" applyBorder="false" applyAlignment="false" applyProtection="false"/>
    <xf numFmtId="164" fontId="19" fillId="4" borderId="1" applyFont="true" applyBorder="true" applyAlignment="false" applyProtection="false"/>
    <xf numFmtId="164" fontId="19" fillId="4" borderId="1" applyFont="true" applyBorder="true" applyAlignment="false" applyProtection="false"/>
    <xf numFmtId="164" fontId="20" fillId="25" borderId="3" applyFont="true" applyBorder="true" applyAlignment="true" applyProtection="true">
      <alignment horizontal="general" vertical="bottom" textRotation="0" wrapText="false" indent="0" shrinkToFit="false"/>
      <protection locked="true" hidden="false"/>
    </xf>
    <xf numFmtId="164" fontId="20" fillId="25" borderId="3" applyFont="true" applyBorder="true" applyAlignment="true" applyProtection="true">
      <alignment horizontal="general" vertical="bottom" textRotation="0" wrapText="false" indent="0" shrinkToFit="false"/>
      <protection locked="true" hidden="false"/>
    </xf>
    <xf numFmtId="164" fontId="21" fillId="0" borderId="9" applyFont="true" applyBorder="true" applyAlignment="false" applyProtection="false"/>
    <xf numFmtId="164" fontId="21" fillId="0" borderId="9" applyFont="true" applyBorder="true" applyAlignment="false" applyProtection="false"/>
    <xf numFmtId="171" fontId="9" fillId="0" borderId="0" applyFont="true" applyBorder="false" applyAlignment="false" applyProtection="false"/>
    <xf numFmtId="172" fontId="9" fillId="0" borderId="0" applyFont="true" applyBorder="false" applyAlignment="false" applyProtection="false"/>
    <xf numFmtId="173" fontId="9" fillId="0" borderId="0" applyFont="true" applyBorder="false" applyAlignment="false" applyProtection="false"/>
    <xf numFmtId="174" fontId="9" fillId="0" borderId="0" applyFont="true" applyBorder="false" applyAlignment="false" applyProtection="false"/>
    <xf numFmtId="164" fontId="22" fillId="14" borderId="0" applyFont="true" applyBorder="false" applyAlignment="false" applyProtection="false"/>
    <xf numFmtId="164" fontId="22" fillId="14"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8" borderId="10" applyFont="true" applyBorder="true" applyAlignment="false" applyProtection="false"/>
    <xf numFmtId="164" fontId="0" fillId="8" borderId="10" applyFont="true" applyBorder="true" applyAlignment="false" applyProtection="false"/>
    <xf numFmtId="164" fontId="23" fillId="13" borderId="11" applyFont="true" applyBorder="true" applyAlignment="false" applyProtection="false"/>
    <xf numFmtId="164" fontId="23" fillId="13" borderId="11" applyFont="true" applyBorder="true" applyAlignment="false" applyProtection="false"/>
    <xf numFmtId="175" fontId="9" fillId="0" borderId="0" applyFont="true" applyBorder="false" applyAlignment="false" applyProtection="false"/>
    <xf numFmtId="175" fontId="0" fillId="0" borderId="0" applyFont="true" applyBorder="false" applyAlignment="false" applyProtection="false"/>
    <xf numFmtId="175" fontId="0" fillId="0" borderId="0" applyFont="true" applyBorder="false" applyAlignment="false" applyProtection="false"/>
    <xf numFmtId="175" fontId="9" fillId="0" borderId="0" applyFont="true" applyBorder="false" applyAlignment="false" applyProtection="false"/>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3" applyFont="true" applyBorder="true" applyAlignment="true" applyProtection="true">
      <alignment horizontal="general" vertical="bottom" textRotation="0" wrapText="false" indent="0" shrinkToFit="false"/>
      <protection locked="true" hidden="false"/>
    </xf>
    <xf numFmtId="164" fontId="10" fillId="0" borderId="3" applyFont="true" applyBorder="true" applyAlignment="true" applyProtection="true">
      <alignment horizontal="general" vertical="bottom" textRotation="0" wrapText="false" indent="0" shrinkToFit="false"/>
      <protection locked="true" hidden="false"/>
    </xf>
    <xf numFmtId="164" fontId="24" fillId="26" borderId="0" applyFont="true" applyBorder="true" applyAlignment="true" applyProtection="true">
      <alignment horizontal="general" vertical="bottom" textRotation="0" wrapText="false" indent="0" shrinkToFit="false"/>
      <protection locked="true" hidden="false"/>
    </xf>
    <xf numFmtId="164" fontId="24" fillId="26"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false" applyAlignment="false" applyProtection="false"/>
    <xf numFmtId="164" fontId="26" fillId="0" borderId="0" applyFont="true" applyBorder="false" applyAlignment="false" applyProtection="false"/>
    <xf numFmtId="164" fontId="26" fillId="0" borderId="0" applyFont="true" applyBorder="false" applyAlignment="false" applyProtection="false"/>
    <xf numFmtId="164" fontId="27" fillId="0" borderId="12" applyFont="true" applyBorder="true" applyAlignment="false" applyProtection="false"/>
    <xf numFmtId="164" fontId="27" fillId="0" borderId="12" applyFont="true" applyBorder="true" applyAlignment="false" applyProtection="false"/>
    <xf numFmtId="164" fontId="20" fillId="0" borderId="13" applyFont="true" applyBorder="true" applyAlignment="true" applyProtection="true">
      <alignment horizontal="general" vertical="bottom" textRotation="0" wrapText="false" indent="0" shrinkToFit="false"/>
      <protection locked="true" hidden="false"/>
    </xf>
    <xf numFmtId="164" fontId="20" fillId="0" borderId="13" applyFont="true" applyBorder="true" applyAlignment="true" applyProtection="true">
      <alignment horizontal="general" vertical="bottom" textRotation="0" wrapText="false" indent="0" shrinkToFit="false"/>
      <protection locked="true" hidden="false"/>
    </xf>
    <xf numFmtId="164" fontId="20" fillId="0" borderId="3" applyFont="true" applyBorder="true" applyAlignment="true" applyProtection="true">
      <alignment horizontal="general" vertical="bottom" textRotation="0" wrapText="false" indent="0" shrinkToFit="false"/>
      <protection locked="true" hidden="false"/>
    </xf>
    <xf numFmtId="164" fontId="20" fillId="0" borderId="3" applyFont="true" applyBorder="true" applyAlignment="true" applyProtection="true">
      <alignment horizontal="general" vertical="bottom" textRotation="0" wrapText="false" indent="0" shrinkToFit="false"/>
      <protection locked="true" hidden="false"/>
    </xf>
    <xf numFmtId="164" fontId="28" fillId="0" borderId="0" applyFont="true" applyBorder="false" applyAlignment="false" applyProtection="false"/>
    <xf numFmtId="164" fontId="28"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cellStyleXfs>
  <cellXfs count="427">
    <xf numFmtId="164" fontId="0" fillId="0" borderId="0" xfId="0" applyFont="false" applyBorder="false" applyAlignment="false" applyProtection="false">
      <alignment horizontal="general" vertical="bottom" textRotation="0" wrapText="false" indent="0" shrinkToFit="false"/>
      <protection locked="true" hidden="false"/>
    </xf>
    <xf numFmtId="176" fontId="30" fillId="0" borderId="0" xfId="0" applyFont="true" applyBorder="false" applyAlignment="true" applyProtection="false">
      <alignment horizontal="general" vertical="top" textRotation="0" wrapText="false" indent="0" shrinkToFit="false"/>
      <protection locked="true" hidden="false"/>
    </xf>
    <xf numFmtId="176" fontId="31" fillId="0" borderId="0" xfId="0" applyFont="true" applyBorder="false" applyAlignment="false" applyProtection="false">
      <alignment horizontal="general" vertical="bottom" textRotation="0" wrapText="false" indent="0" shrinkToFit="false"/>
      <protection locked="true" hidden="false"/>
    </xf>
    <xf numFmtId="176" fontId="31" fillId="0" borderId="0" xfId="0" applyFont="true" applyBorder="true" applyAlignment="false" applyProtection="false">
      <alignment horizontal="general" vertical="bottom" textRotation="0" wrapText="false" indent="0" shrinkToFit="false"/>
      <protection locked="true" hidden="false"/>
    </xf>
    <xf numFmtId="176" fontId="30" fillId="0" borderId="14" xfId="0" applyFont="true" applyBorder="true" applyAlignment="true" applyProtection="false">
      <alignment horizontal="general" vertical="top" textRotation="0" wrapText="false" indent="0" shrinkToFit="false"/>
      <protection locked="true" hidden="false"/>
    </xf>
    <xf numFmtId="176" fontId="31" fillId="0" borderId="15" xfId="0" applyFont="true" applyBorder="true" applyAlignment="false" applyProtection="false">
      <alignment horizontal="general" vertical="bottom" textRotation="0" wrapText="false" indent="0" shrinkToFit="false"/>
      <protection locked="true" hidden="false"/>
    </xf>
    <xf numFmtId="177" fontId="31" fillId="0" borderId="0" xfId="0" applyFont="true" applyBorder="true" applyAlignment="false" applyProtection="false">
      <alignment horizontal="general" vertical="bottom" textRotation="0" wrapText="false" indent="0" shrinkToFit="false"/>
      <protection locked="true" hidden="false"/>
    </xf>
    <xf numFmtId="176" fontId="30" fillId="0" borderId="3" xfId="0" applyFont="true" applyBorder="true" applyAlignment="true" applyProtection="false">
      <alignment horizontal="center" vertical="center" textRotation="0" wrapText="false" indent="0" shrinkToFit="false"/>
      <protection locked="true" hidden="false"/>
    </xf>
    <xf numFmtId="176" fontId="30" fillId="0" borderId="16" xfId="0" applyFont="true" applyBorder="true" applyAlignment="true" applyProtection="false">
      <alignment horizontal="right" vertical="bottom" textRotation="0" wrapText="false" indent="0" shrinkToFit="false"/>
      <protection locked="true" hidden="false"/>
    </xf>
    <xf numFmtId="176" fontId="30" fillId="0" borderId="17" xfId="0" applyFont="true" applyBorder="true" applyAlignment="true" applyProtection="false">
      <alignment horizontal="left" vertical="bottom" textRotation="0" wrapText="false" indent="0" shrinkToFit="false"/>
      <protection locked="true" hidden="false"/>
    </xf>
    <xf numFmtId="176" fontId="30" fillId="0" borderId="17" xfId="0" applyFont="true" applyBorder="true" applyAlignment="true" applyProtection="false">
      <alignment horizontal="center" vertical="bottom" textRotation="0" wrapText="false" indent="0" shrinkToFit="false"/>
      <protection locked="true" hidden="false"/>
    </xf>
    <xf numFmtId="176" fontId="30" fillId="0" borderId="18" xfId="0" applyFont="true" applyBorder="true" applyAlignment="true" applyProtection="false">
      <alignment horizontal="center" vertical="bottom" textRotation="0" wrapText="false" indent="0" shrinkToFit="false"/>
      <protection locked="true" hidden="false"/>
    </xf>
    <xf numFmtId="176" fontId="30" fillId="0" borderId="3" xfId="0" applyFont="true" applyBorder="true" applyAlignment="true" applyProtection="false">
      <alignment horizontal="center" vertical="bottom" textRotation="0" wrapText="false" indent="0" shrinkToFit="false"/>
      <protection locked="true" hidden="false"/>
    </xf>
    <xf numFmtId="176" fontId="32" fillId="0" borderId="3" xfId="0" applyFont="true" applyBorder="true" applyAlignment="true" applyProtection="false">
      <alignment horizontal="center" vertical="center" textRotation="0" wrapText="true" indent="0" shrinkToFit="false"/>
      <protection locked="true" hidden="false"/>
    </xf>
    <xf numFmtId="176" fontId="31" fillId="0" borderId="0" xfId="0" applyFont="true" applyBorder="true" applyAlignment="true" applyProtection="false">
      <alignment horizontal="left" vertical="bottom" textRotation="0" wrapText="false" indent="0" shrinkToFit="false"/>
      <protection locked="true" hidden="false"/>
    </xf>
    <xf numFmtId="176" fontId="31" fillId="0" borderId="19" xfId="0" applyFont="true" applyBorder="true" applyAlignment="true" applyProtection="false">
      <alignment horizontal="left" vertical="bottom" textRotation="0" wrapText="false" indent="0" shrinkToFit="false"/>
      <protection locked="true" hidden="false"/>
    </xf>
    <xf numFmtId="176" fontId="31" fillId="0" borderId="16" xfId="0" applyFont="true" applyBorder="true" applyAlignment="true" applyProtection="false">
      <alignment horizontal="left" vertical="top" textRotation="0" wrapText="false" indent="0" shrinkToFit="false"/>
      <protection locked="true" hidden="false"/>
    </xf>
    <xf numFmtId="176" fontId="31" fillId="0" borderId="17" xfId="0" applyFont="true" applyBorder="true" applyAlignment="true" applyProtection="false">
      <alignment horizontal="left" vertical="bottom" textRotation="0" wrapText="false" indent="0" shrinkToFit="false"/>
      <protection locked="true" hidden="false"/>
    </xf>
    <xf numFmtId="176" fontId="31" fillId="0" borderId="18" xfId="0" applyFont="true" applyBorder="true" applyAlignment="true" applyProtection="false">
      <alignment horizontal="left" vertical="bottom" textRotation="0" wrapText="false" indent="0" shrinkToFit="false"/>
      <protection locked="true" hidden="false"/>
    </xf>
    <xf numFmtId="176" fontId="31" fillId="0" borderId="3" xfId="0" applyFont="true" applyBorder="true" applyAlignment="true" applyProtection="false">
      <alignment horizontal="left" vertical="bottom" textRotation="0" wrapText="false" indent="0" shrinkToFit="false"/>
      <protection locked="true" hidden="false"/>
    </xf>
    <xf numFmtId="176" fontId="33" fillId="0" borderId="3" xfId="0" applyFont="true" applyBorder="true" applyAlignment="true" applyProtection="false">
      <alignment horizontal="center" vertical="top" textRotation="0" wrapText="true" indent="0" shrinkToFit="false"/>
      <protection locked="true" hidden="false"/>
    </xf>
    <xf numFmtId="176" fontId="34" fillId="0" borderId="14" xfId="0" applyFont="true" applyBorder="true" applyAlignment="true" applyProtection="false">
      <alignment horizontal="left" vertical="top" textRotation="0" wrapText="false" indent="0" shrinkToFit="false"/>
      <protection locked="true" hidden="false"/>
    </xf>
    <xf numFmtId="176" fontId="31" fillId="0" borderId="20" xfId="0" applyFont="true" applyBorder="true" applyAlignment="false" applyProtection="false">
      <alignment horizontal="general" vertical="bottom" textRotation="0" wrapText="false" indent="0" shrinkToFit="false"/>
      <protection locked="true" hidden="false"/>
    </xf>
    <xf numFmtId="176" fontId="35" fillId="0" borderId="19" xfId="0" applyFont="true" applyBorder="true" applyAlignment="true" applyProtection="false">
      <alignment horizontal="general" vertical="top" textRotation="0" wrapText="false" indent="0" shrinkToFit="false"/>
      <protection locked="true" hidden="false"/>
    </xf>
    <xf numFmtId="176" fontId="31" fillId="0" borderId="21" xfId="0" applyFont="true" applyBorder="true" applyAlignment="false" applyProtection="false">
      <alignment horizontal="general" vertical="bottom" textRotation="0" wrapText="false" indent="0" shrinkToFit="false"/>
      <protection locked="true" hidden="false"/>
    </xf>
    <xf numFmtId="176" fontId="36" fillId="0" borderId="19" xfId="0" applyFont="true" applyBorder="true" applyAlignment="true" applyProtection="false">
      <alignment horizontal="left" vertical="top" textRotation="0" wrapText="false" indent="0" shrinkToFit="false"/>
      <protection locked="true" hidden="false"/>
    </xf>
    <xf numFmtId="178" fontId="37" fillId="0" borderId="0" xfId="0" applyFont="true" applyBorder="false" applyAlignment="false" applyProtection="false">
      <alignment horizontal="general" vertical="bottom" textRotation="0" wrapText="false" indent="0" shrinkToFit="false"/>
      <protection locked="true" hidden="false"/>
    </xf>
    <xf numFmtId="176" fontId="31" fillId="0" borderId="19" xfId="0" applyFont="true" applyBorder="true" applyAlignment="true" applyProtection="false">
      <alignment horizontal="left" vertical="top" textRotation="0" wrapText="false" indent="0" shrinkToFit="false"/>
      <protection locked="true" hidden="false"/>
    </xf>
    <xf numFmtId="176" fontId="31" fillId="0" borderId="0" xfId="0" applyFont="true" applyBorder="true" applyAlignment="true" applyProtection="false">
      <alignment horizontal="center" vertical="bottom" textRotation="0" wrapText="false" indent="0" shrinkToFit="false"/>
      <protection locked="true" hidden="false"/>
    </xf>
    <xf numFmtId="176" fontId="30" fillId="0" borderId="19" xfId="0" applyFont="true" applyBorder="true" applyAlignment="true" applyProtection="false">
      <alignment horizontal="general" vertical="top" textRotation="0" wrapText="false" indent="0" shrinkToFit="false"/>
      <protection locked="true" hidden="false"/>
    </xf>
    <xf numFmtId="176" fontId="31" fillId="0" borderId="3" xfId="0" applyFont="true" applyBorder="true" applyAlignment="false" applyProtection="false">
      <alignment horizontal="general" vertical="bottom" textRotation="0" wrapText="false" indent="0" shrinkToFit="false"/>
      <protection locked="true" hidden="false"/>
    </xf>
    <xf numFmtId="176" fontId="31" fillId="0" borderId="19" xfId="0" applyFont="true" applyBorder="true" applyAlignment="true" applyProtection="false">
      <alignment horizontal="general" vertical="top" textRotation="0" wrapText="false" indent="0" shrinkToFit="false"/>
      <protection locked="true" hidden="false"/>
    </xf>
    <xf numFmtId="176" fontId="31" fillId="0" borderId="22" xfId="0" applyFont="true" applyBorder="true" applyAlignment="true" applyProtection="false">
      <alignment horizontal="center" vertical="bottom" textRotation="0" wrapText="false" indent="0" shrinkToFit="false"/>
      <protection locked="true" hidden="false"/>
    </xf>
    <xf numFmtId="176" fontId="31" fillId="0" borderId="0" xfId="0" applyFont="true" applyBorder="true" applyAlignment="true" applyProtection="false">
      <alignment horizontal="left" vertical="bottom" textRotation="0" wrapText="true" indent="0" shrinkToFit="false"/>
      <protection locked="true" hidden="false"/>
    </xf>
    <xf numFmtId="176" fontId="30" fillId="0" borderId="0" xfId="0" applyFont="true" applyBorder="true" applyAlignment="true" applyProtection="false">
      <alignment horizontal="center" vertical="top" textRotation="0" wrapText="false" indent="0" shrinkToFit="false"/>
      <protection locked="true" hidden="false"/>
    </xf>
    <xf numFmtId="176" fontId="34" fillId="0" borderId="19" xfId="0" applyFont="true" applyBorder="true" applyAlignment="true" applyProtection="false">
      <alignment horizontal="left" vertical="top" textRotation="0" wrapText="false" indent="0" shrinkToFit="false"/>
      <protection locked="true" hidden="false"/>
    </xf>
    <xf numFmtId="176" fontId="38" fillId="0" borderId="0" xfId="0" applyFont="true" applyBorder="true" applyAlignment="false" applyProtection="false">
      <alignment horizontal="general" vertical="bottom" textRotation="0" wrapText="false" indent="0" shrinkToFit="false"/>
      <protection locked="true" hidden="false"/>
    </xf>
    <xf numFmtId="176" fontId="31" fillId="0" borderId="22" xfId="0" applyFont="true" applyBorder="true" applyAlignment="false" applyProtection="false">
      <alignment horizontal="general" vertical="bottom" textRotation="0" wrapText="false" indent="0" shrinkToFit="false"/>
      <protection locked="true" hidden="false"/>
    </xf>
    <xf numFmtId="176" fontId="31" fillId="0" borderId="19" xfId="0" applyFont="true" applyBorder="true" applyAlignment="true" applyProtection="false">
      <alignment horizontal="left" vertical="top" textRotation="0" wrapText="false" indent="1" shrinkToFit="false"/>
      <protection locked="true" hidden="false"/>
    </xf>
    <xf numFmtId="176" fontId="31" fillId="0" borderId="0" xfId="0" applyFont="true" applyBorder="true" applyAlignment="true" applyProtection="false">
      <alignment horizontal="left" vertical="bottom" textRotation="0" wrapText="false" indent="1" shrinkToFit="false"/>
      <protection locked="true" hidden="false"/>
    </xf>
    <xf numFmtId="176" fontId="31" fillId="0" borderId="19" xfId="0" applyFont="true" applyBorder="true" applyAlignment="false" applyProtection="false">
      <alignment horizontal="general" vertical="bottom" textRotation="0" wrapText="false" indent="0" shrinkToFit="false"/>
      <protection locked="true" hidden="false"/>
    </xf>
    <xf numFmtId="176" fontId="31" fillId="0" borderId="23" xfId="0" applyFont="true" applyBorder="true" applyAlignment="false" applyProtection="false">
      <alignment horizontal="general" vertical="bottom" textRotation="0" wrapText="false" indent="0" shrinkToFit="false"/>
      <protection locked="true" hidden="false"/>
    </xf>
    <xf numFmtId="176" fontId="31" fillId="0" borderId="18" xfId="0" applyFont="true" applyBorder="true" applyAlignment="false" applyProtection="false">
      <alignment horizontal="general" vertical="bottom" textRotation="0" wrapText="false" indent="0" shrinkToFit="false"/>
      <protection locked="true" hidden="false"/>
    </xf>
    <xf numFmtId="176" fontId="31" fillId="0" borderId="24" xfId="0" applyFont="true" applyBorder="true" applyAlignment="false" applyProtection="false">
      <alignment horizontal="general" vertical="bottom" textRotation="0" wrapText="false" indent="0" shrinkToFit="false"/>
      <protection locked="true" hidden="false"/>
    </xf>
    <xf numFmtId="176" fontId="30" fillId="0" borderId="19" xfId="0" applyFont="true" applyBorder="true" applyAlignment="true" applyProtection="false">
      <alignment horizontal="center" vertical="top" textRotation="0" wrapText="false" indent="0" shrinkToFit="false"/>
      <protection locked="true" hidden="false"/>
    </xf>
    <xf numFmtId="176" fontId="30" fillId="0" borderId="15" xfId="0" applyFont="true" applyBorder="true" applyAlignment="true" applyProtection="false">
      <alignment horizontal="left" vertical="bottom" textRotation="0" wrapText="false" indent="0" shrinkToFit="false"/>
      <protection locked="true" hidden="false"/>
    </xf>
    <xf numFmtId="176" fontId="30" fillId="0" borderId="0" xfId="0" applyFont="true" applyBorder="true" applyAlignment="true" applyProtection="false">
      <alignment horizontal="left" vertical="bottom" textRotation="0" wrapText="false" indent="0" shrinkToFit="false"/>
      <protection locked="true" hidden="false"/>
    </xf>
    <xf numFmtId="179" fontId="39" fillId="0" borderId="0" xfId="0" applyFont="true" applyBorder="true" applyAlignment="true" applyProtection="false">
      <alignment horizontal="left" vertical="bottom" textRotation="0" wrapText="true" indent="0" shrinkToFit="false"/>
      <protection locked="true" hidden="false"/>
    </xf>
    <xf numFmtId="176" fontId="30" fillId="0" borderId="0" xfId="0" applyFont="true" applyBorder="true" applyAlignment="false" applyProtection="false">
      <alignment horizontal="general" vertical="bottom" textRotation="0" wrapText="false" indent="0" shrinkToFit="false"/>
      <protection locked="true" hidden="false"/>
    </xf>
    <xf numFmtId="179" fontId="40" fillId="0" borderId="0" xfId="0" applyFont="true" applyBorder="true" applyAlignment="true" applyProtection="false">
      <alignment horizontal="left" vertical="bottom" textRotation="0" wrapText="true" indent="0" shrinkToFit="false"/>
      <protection locked="true" hidden="false"/>
    </xf>
    <xf numFmtId="179" fontId="40" fillId="0" borderId="0" xfId="0" applyFont="true" applyBorder="true" applyAlignment="true" applyProtection="false">
      <alignment horizontal="general" vertical="bottom" textRotation="0" wrapText="true" indent="0" shrinkToFit="false"/>
      <protection locked="true" hidden="false"/>
    </xf>
    <xf numFmtId="176" fontId="30" fillId="0" borderId="25" xfId="0" applyFont="true" applyBorder="true" applyAlignment="true" applyProtection="false">
      <alignment horizontal="general" vertical="top" textRotation="0" wrapText="false" indent="0" shrinkToFit="false"/>
      <protection locked="true" hidden="false"/>
    </xf>
    <xf numFmtId="164" fontId="30" fillId="0" borderId="26" xfId="0" applyFont="true" applyBorder="true" applyAlignment="true" applyProtection="false">
      <alignment horizontal="left" vertical="bottom" textRotation="0" wrapText="false" indent="0" shrinkToFit="false"/>
      <protection locked="true" hidden="false"/>
    </xf>
    <xf numFmtId="176" fontId="30" fillId="0" borderId="26" xfId="0" applyFont="true" applyBorder="true" applyAlignment="false" applyProtection="false">
      <alignment horizontal="general" vertical="bottom" textRotation="0" wrapText="false" indent="0" shrinkToFit="false"/>
      <protection locked="true" hidden="false"/>
    </xf>
    <xf numFmtId="176" fontId="31" fillId="0" borderId="27" xfId="0" applyFont="true" applyBorder="true" applyAlignment="false" applyProtection="false">
      <alignment horizontal="general" vertical="bottom" textRotation="0" wrapText="false" indent="0" shrinkToFit="false"/>
      <protection locked="true" hidden="false"/>
    </xf>
    <xf numFmtId="176" fontId="30" fillId="0" borderId="17" xfId="0" applyFont="true" applyBorder="true" applyAlignment="true" applyProtection="false">
      <alignment horizontal="general" vertical="bottom" textRotation="0" wrapText="false" indent="0" shrinkToFit="false"/>
      <protection locked="true" hidden="false"/>
    </xf>
    <xf numFmtId="176" fontId="30" fillId="0" borderId="18" xfId="0" applyFont="true" applyBorder="true" applyAlignment="true" applyProtection="false">
      <alignment horizontal="general" vertical="bottom" textRotation="0" wrapText="false" indent="0" shrinkToFit="false"/>
      <protection locked="true" hidden="false"/>
    </xf>
    <xf numFmtId="176" fontId="30" fillId="0" borderId="16" xfId="0" applyFont="true" applyBorder="true" applyAlignment="true" applyProtection="false">
      <alignment horizontal="center" vertical="bottom" textRotation="0" wrapText="false" indent="0" shrinkToFit="false"/>
      <protection locked="true" hidden="false"/>
    </xf>
    <xf numFmtId="176" fontId="32" fillId="0" borderId="3" xfId="0" applyFont="true" applyBorder="true" applyAlignment="true" applyProtection="false">
      <alignment horizontal="left" vertical="center" textRotation="0" wrapText="true" indent="0" shrinkToFit="false"/>
      <protection locked="true" hidden="false"/>
    </xf>
    <xf numFmtId="176" fontId="31" fillId="0" borderId="28" xfId="0" applyFont="true" applyBorder="true" applyAlignment="true" applyProtection="false">
      <alignment horizontal="center" vertical="top" textRotation="0" wrapText="false" indent="0" shrinkToFit="false"/>
      <protection locked="true" hidden="false"/>
    </xf>
    <xf numFmtId="176" fontId="31" fillId="0" borderId="28" xfId="0" applyFont="true" applyBorder="true" applyAlignment="true" applyProtection="false">
      <alignment horizontal="center" vertical="bottom" textRotation="0" wrapText="false" indent="0" shrinkToFit="false"/>
      <protection locked="true" hidden="false"/>
    </xf>
    <xf numFmtId="176" fontId="33" fillId="0" borderId="28" xfId="0" applyFont="true" applyBorder="true" applyAlignment="true" applyProtection="false">
      <alignment horizontal="center" vertical="top" textRotation="0" wrapText="true" indent="0" shrinkToFit="false"/>
      <protection locked="true" hidden="false"/>
    </xf>
    <xf numFmtId="176" fontId="31" fillId="0" borderId="0" xfId="0" applyFont="true" applyBorder="false" applyAlignment="true" applyProtection="false">
      <alignment horizontal="center" vertical="bottom" textRotation="0" wrapText="false" indent="0" shrinkToFit="false"/>
      <protection locked="true" hidden="false"/>
    </xf>
    <xf numFmtId="176" fontId="30" fillId="0" borderId="19" xfId="0" applyFont="true" applyBorder="true" applyAlignment="false" applyProtection="false">
      <alignment horizontal="general" vertical="bottom" textRotation="0" wrapText="false" indent="0" shrinkToFit="false"/>
      <protection locked="true" hidden="false"/>
    </xf>
    <xf numFmtId="176" fontId="30" fillId="0" borderId="0" xfId="0" applyFont="true" applyBorder="true" applyAlignment="true" applyProtection="false">
      <alignment horizontal="center" vertical="bottom" textRotation="0" wrapText="false" indent="0" shrinkToFit="false"/>
      <protection locked="true" hidden="false"/>
    </xf>
    <xf numFmtId="176" fontId="30" fillId="0" borderId="21" xfId="0" applyFont="true" applyBorder="true" applyAlignment="true" applyProtection="false">
      <alignment horizontal="center" vertical="bottom" textRotation="0" wrapText="false" indent="0" shrinkToFit="false"/>
      <protection locked="true" hidden="false"/>
    </xf>
    <xf numFmtId="178" fontId="31" fillId="0" borderId="21" xfId="0" applyFont="true" applyBorder="true" applyAlignment="false" applyProtection="false">
      <alignment horizontal="general" vertical="bottom" textRotation="0" wrapText="false" indent="0" shrinkToFit="false"/>
      <protection locked="true" hidden="false"/>
    </xf>
    <xf numFmtId="178" fontId="31" fillId="0" borderId="3" xfId="0" applyFont="true" applyBorder="true" applyAlignment="false" applyProtection="false">
      <alignment horizontal="general" vertical="bottom" textRotation="0" wrapText="false" indent="0" shrinkToFit="false"/>
      <protection locked="true" hidden="false"/>
    </xf>
    <xf numFmtId="178" fontId="38" fillId="0" borderId="21" xfId="0" applyFont="true" applyBorder="true" applyAlignment="false" applyProtection="false">
      <alignment horizontal="general" vertical="bottom" textRotation="0" wrapText="false" indent="0" shrinkToFit="false"/>
      <protection locked="true" hidden="false"/>
    </xf>
    <xf numFmtId="176" fontId="41" fillId="0" borderId="0" xfId="0" applyFont="true" applyBorder="true" applyAlignment="true" applyProtection="false">
      <alignment horizontal="center" vertical="bottom" textRotation="0" wrapText="false" indent="0" shrinkToFit="false"/>
      <protection locked="true" hidden="false"/>
    </xf>
    <xf numFmtId="176" fontId="31" fillId="0" borderId="19" xfId="0" applyFont="true" applyBorder="true" applyAlignment="true" applyProtection="false">
      <alignment horizontal="left" vertical="top" textRotation="0" wrapText="true" indent="0" shrinkToFit="false"/>
      <protection locked="true" hidden="false"/>
    </xf>
    <xf numFmtId="178" fontId="31" fillId="0" borderId="21" xfId="0" applyFont="true" applyBorder="true" applyAlignment="true" applyProtection="false">
      <alignment horizontal="general" vertical="center" textRotation="0" wrapText="false" indent="0" shrinkToFit="false"/>
      <protection locked="true" hidden="false"/>
    </xf>
    <xf numFmtId="178" fontId="31" fillId="0" borderId="23" xfId="0" applyFont="true" applyBorder="true" applyAlignment="false" applyProtection="false">
      <alignment horizontal="general" vertical="bottom" textRotation="0" wrapText="false" indent="0" shrinkToFit="false"/>
      <protection locked="true" hidden="false"/>
    </xf>
    <xf numFmtId="178" fontId="31" fillId="0" borderId="18" xfId="0" applyFont="true" applyBorder="true" applyAlignment="false" applyProtection="false">
      <alignment horizontal="general" vertical="bottom" textRotation="0" wrapText="false" indent="0" shrinkToFit="false"/>
      <protection locked="true" hidden="false"/>
    </xf>
    <xf numFmtId="178" fontId="31" fillId="0" borderId="22" xfId="0" applyFont="true" applyBorder="true" applyAlignment="false" applyProtection="false">
      <alignment horizontal="general" vertical="bottom" textRotation="0" wrapText="false" indent="0" shrinkToFit="false"/>
      <protection locked="true" hidden="false"/>
    </xf>
    <xf numFmtId="176" fontId="31" fillId="0" borderId="0" xfId="0" applyFont="true" applyBorder="true" applyAlignment="true" applyProtection="false">
      <alignment horizontal="general" vertical="top" textRotation="0" wrapText="false" indent="0" shrinkToFit="false"/>
      <protection locked="true" hidden="false"/>
    </xf>
    <xf numFmtId="176" fontId="30" fillId="0" borderId="0" xfId="0" applyFont="true" applyBorder="true" applyAlignment="true" applyProtection="false">
      <alignment horizontal="general" vertical="top" textRotation="0" wrapText="false" indent="0" shrinkToFit="false"/>
      <protection locked="true" hidden="false"/>
    </xf>
    <xf numFmtId="176" fontId="30" fillId="0" borderId="21" xfId="0" applyFont="true" applyBorder="true" applyAlignment="true" applyProtection="false">
      <alignment horizontal="general" vertical="top" textRotation="0" wrapText="false" indent="0" shrinkToFit="false"/>
      <protection locked="true" hidden="false"/>
    </xf>
    <xf numFmtId="180" fontId="31" fillId="0" borderId="21" xfId="0" applyFont="true" applyBorder="true" applyAlignment="false" applyProtection="false">
      <alignment horizontal="general" vertical="bottom" textRotation="0" wrapText="false" indent="0" shrinkToFit="false"/>
      <protection locked="true" hidden="false"/>
    </xf>
    <xf numFmtId="176" fontId="31" fillId="0" borderId="26" xfId="0" applyFont="true" applyBorder="true" applyAlignment="false" applyProtection="false">
      <alignment horizontal="general" vertical="bottom" textRotation="0" wrapText="false" indent="0" shrinkToFit="false"/>
      <protection locked="true" hidden="false"/>
    </xf>
    <xf numFmtId="176" fontId="31" fillId="0" borderId="26" xfId="0" applyFont="true" applyBorder="true" applyAlignment="true" applyProtection="false">
      <alignment horizontal="center" vertical="bottom" textRotation="0" wrapText="false" indent="0" shrinkToFit="false"/>
      <protection locked="true" hidden="false"/>
    </xf>
    <xf numFmtId="176" fontId="31" fillId="0" borderId="25" xfId="0" applyFont="true" applyBorder="true" applyAlignment="false" applyProtection="false">
      <alignment horizontal="general" vertical="bottom" textRotation="0" wrapText="false" indent="0" shrinkToFit="false"/>
      <protection locked="true" hidden="false"/>
    </xf>
    <xf numFmtId="181" fontId="30" fillId="0" borderId="26" xfId="0" applyFont="true" applyBorder="true" applyAlignment="true" applyProtection="false">
      <alignment horizontal="left" vertical="top" textRotation="0" wrapText="false" indent="0" shrinkToFit="false"/>
      <protection locked="true" hidden="false"/>
    </xf>
    <xf numFmtId="176" fontId="30" fillId="0" borderId="20" xfId="0" applyFont="true" applyBorder="true" applyAlignment="true" applyProtection="false">
      <alignment horizontal="center" vertical="bottom" textRotation="0" wrapText="false" indent="0" shrinkToFit="false"/>
      <protection locked="true" hidden="false"/>
    </xf>
    <xf numFmtId="176" fontId="30" fillId="0" borderId="15" xfId="0" applyFont="true" applyBorder="true" applyAlignment="true" applyProtection="false">
      <alignment horizontal="general" vertical="bottom" textRotation="0" wrapText="false" indent="0" shrinkToFit="false"/>
      <protection locked="true" hidden="false"/>
    </xf>
    <xf numFmtId="176" fontId="30" fillId="0" borderId="24" xfId="0" applyFont="true" applyBorder="true" applyAlignment="true" applyProtection="false">
      <alignment horizontal="general" vertical="bottom" textRotation="0" wrapText="false" indent="0" shrinkToFit="false"/>
      <protection locked="true" hidden="false"/>
    </xf>
    <xf numFmtId="176" fontId="30" fillId="0" borderId="16" xfId="0" applyFont="true" applyBorder="true" applyAlignment="true" applyProtection="false">
      <alignment horizontal="general" vertical="top" textRotation="0" wrapText="false" indent="0" shrinkToFit="false"/>
      <protection locked="true" hidden="false"/>
    </xf>
    <xf numFmtId="176" fontId="31" fillId="0" borderId="17" xfId="0" applyFont="true" applyBorder="true" applyAlignment="false" applyProtection="false">
      <alignment horizontal="general" vertical="bottom" textRotation="0" wrapText="false" indent="0" shrinkToFit="false"/>
      <protection locked="true" hidden="false"/>
    </xf>
    <xf numFmtId="176" fontId="31" fillId="0" borderId="3" xfId="0" applyFont="true" applyBorder="true" applyAlignment="true" applyProtection="false">
      <alignment horizontal="center" vertical="top" textRotation="0" wrapText="true" indent="0" shrinkToFit="false"/>
      <protection locked="true" hidden="false"/>
    </xf>
    <xf numFmtId="176" fontId="30" fillId="0" borderId="21" xfId="0" applyFont="true" applyBorder="true" applyAlignment="false" applyProtection="false">
      <alignment horizontal="general" vertical="bottom" textRotation="0" wrapText="false" indent="0" shrinkToFit="false"/>
      <protection locked="true" hidden="false"/>
    </xf>
    <xf numFmtId="176" fontId="42" fillId="0" borderId="0" xfId="0" applyFont="true" applyBorder="true" applyAlignment="false" applyProtection="false">
      <alignment horizontal="general" vertical="bottom" textRotation="0" wrapText="false" indent="0" shrinkToFit="false"/>
      <protection locked="true" hidden="false"/>
    </xf>
    <xf numFmtId="176" fontId="31" fillId="0" borderId="21" xfId="0" applyFont="true" applyBorder="true" applyAlignment="true" applyProtection="false">
      <alignment horizontal="right" vertical="bottom" textRotation="0" wrapText="false" indent="0" shrinkToFit="false"/>
      <protection locked="true" hidden="false"/>
    </xf>
    <xf numFmtId="178" fontId="30" fillId="0" borderId="3" xfId="0" applyFont="true" applyBorder="true" applyAlignment="false" applyProtection="false">
      <alignment horizontal="general" vertical="bottom" textRotation="0" wrapText="false" indent="0" shrinkToFit="false"/>
      <protection locked="true" hidden="false"/>
    </xf>
    <xf numFmtId="178" fontId="31" fillId="0" borderId="20" xfId="0" applyFont="true" applyBorder="true" applyAlignment="false" applyProtection="false">
      <alignment horizontal="general" vertical="bottom" textRotation="0" wrapText="false" indent="0" shrinkToFit="false"/>
      <protection locked="true" hidden="false"/>
    </xf>
    <xf numFmtId="176" fontId="30" fillId="0" borderId="2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76" fontId="31" fillId="0" borderId="22" xfId="0" applyFont="true" applyBorder="true" applyAlignment="true" applyProtection="false">
      <alignment horizontal="left" vertical="bottom" textRotation="0" wrapText="true" indent="0" shrinkToFit="false"/>
      <protection locked="true" hidden="false"/>
    </xf>
    <xf numFmtId="176" fontId="38" fillId="0" borderId="19" xfId="0" applyFont="true" applyBorder="true" applyAlignment="true" applyProtection="false">
      <alignment horizontal="general" vertical="top" textRotation="0" wrapText="false" indent="0" shrinkToFit="false"/>
      <protection locked="true" hidden="false"/>
    </xf>
    <xf numFmtId="178" fontId="31" fillId="0" borderId="19"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6" fontId="30" fillId="0" borderId="15" xfId="0" applyFont="true" applyBorder="true" applyAlignment="false" applyProtection="false">
      <alignment horizontal="general" vertical="bottom" textRotation="0" wrapText="false" indent="0" shrinkToFit="false"/>
      <protection locked="true" hidden="false"/>
    </xf>
    <xf numFmtId="176" fontId="30" fillId="0" borderId="24" xfId="0" applyFont="true" applyBorder="true" applyAlignment="false" applyProtection="false">
      <alignment horizontal="general" vertical="bottom" textRotation="0" wrapText="false" indent="0" shrinkToFit="false"/>
      <protection locked="true" hidden="false"/>
    </xf>
    <xf numFmtId="176" fontId="35" fillId="0" borderId="14" xfId="0" applyFont="true" applyBorder="true" applyAlignment="false" applyProtection="false">
      <alignment horizontal="general" vertical="bottom" textRotation="0" wrapText="false" indent="0" shrinkToFit="false"/>
      <protection locked="true" hidden="false"/>
    </xf>
    <xf numFmtId="176" fontId="35" fillId="0" borderId="15" xfId="0" applyFont="true" applyBorder="true" applyAlignment="false" applyProtection="false">
      <alignment horizontal="general" vertical="bottom" textRotation="0" wrapText="false" indent="0" shrinkToFit="false"/>
      <protection locked="true" hidden="false"/>
    </xf>
    <xf numFmtId="176" fontId="32" fillId="0" borderId="16" xfId="0" applyFont="true" applyBorder="true" applyAlignment="true" applyProtection="false">
      <alignment horizontal="center" vertical="bottom" textRotation="0" wrapText="false" indent="0" shrinkToFit="false"/>
      <protection locked="true" hidden="false"/>
    </xf>
    <xf numFmtId="176" fontId="35" fillId="0" borderId="0" xfId="0" applyFont="true" applyBorder="false" applyAlignment="true" applyProtection="false">
      <alignment horizontal="general" vertical="top" textRotation="0" wrapText="false" indent="0" shrinkToFit="false"/>
      <protection locked="true" hidden="false"/>
    </xf>
    <xf numFmtId="176" fontId="33" fillId="0" borderId="16" xfId="0" applyFont="true" applyBorder="true" applyAlignment="true" applyProtection="false">
      <alignment horizontal="center" vertical="top" textRotation="0" wrapText="true" indent="0" shrinkToFit="false"/>
      <protection locked="true" hidden="false"/>
    </xf>
    <xf numFmtId="176" fontId="38" fillId="0" borderId="19" xfId="0" applyFont="true" applyBorder="true" applyAlignment="true" applyProtection="false">
      <alignment horizontal="right" vertical="bottom" textRotation="0" wrapText="false" indent="0" shrinkToFit="false"/>
      <protection locked="true" hidden="false"/>
    </xf>
    <xf numFmtId="176" fontId="31" fillId="0" borderId="16" xfId="0" applyFont="true" applyBorder="true" applyAlignment="false" applyProtection="false">
      <alignment horizontal="general" vertical="bottom" textRotation="0" wrapText="false" indent="0" shrinkToFit="false"/>
      <protection locked="true" hidden="false"/>
    </xf>
    <xf numFmtId="176" fontId="38" fillId="0" borderId="23" xfId="0" applyFont="true" applyBorder="true" applyAlignment="true" applyProtection="false">
      <alignment horizontal="right" vertical="bottom" textRotation="0" wrapText="false" indent="0" shrinkToFit="false"/>
      <protection locked="true" hidden="false"/>
    </xf>
    <xf numFmtId="176" fontId="30" fillId="0" borderId="25" xfId="0" applyFont="true" applyBorder="true" applyAlignment="false" applyProtection="false">
      <alignment horizontal="general" vertical="bottom" textRotation="0" wrapText="false" indent="0" shrinkToFit="false"/>
      <protection locked="true" hidden="false"/>
    </xf>
    <xf numFmtId="176" fontId="30" fillId="0" borderId="27" xfId="0" applyFont="true" applyBorder="true" applyAlignment="false" applyProtection="false">
      <alignment horizontal="general" vertical="bottom" textRotation="0" wrapText="false" indent="0" shrinkToFit="false"/>
      <protection locked="true" hidden="false"/>
    </xf>
    <xf numFmtId="176" fontId="30" fillId="0" borderId="16" xfId="0" applyFont="true" applyBorder="true" applyAlignment="false" applyProtection="false">
      <alignment horizontal="general" vertical="bottom" textRotation="0" wrapText="false" indent="0" shrinkToFit="false"/>
      <protection locked="true" hidden="false"/>
    </xf>
    <xf numFmtId="176" fontId="31" fillId="0" borderId="14" xfId="0" applyFont="true" applyBorder="true" applyAlignment="true" applyProtection="false">
      <alignment horizontal="left" vertical="bottom" textRotation="0" wrapText="true" indent="0" shrinkToFit="false"/>
      <protection locked="true" hidden="false"/>
    </xf>
    <xf numFmtId="176" fontId="38" fillId="0" borderId="0" xfId="0" applyFont="true" applyBorder="false" applyAlignment="false" applyProtection="false">
      <alignment horizontal="general" vertical="bottom" textRotation="0" wrapText="false" indent="0" shrinkToFit="false"/>
      <protection locked="true" hidden="false"/>
    </xf>
    <xf numFmtId="176" fontId="30" fillId="0" borderId="3" xfId="0" applyFont="true" applyBorder="true" applyAlignment="true" applyProtection="false">
      <alignment horizontal="center" vertical="center" textRotation="0" wrapText="true" indent="0" shrinkToFit="false"/>
      <protection locked="true" hidden="false"/>
    </xf>
    <xf numFmtId="176" fontId="30" fillId="0" borderId="3" xfId="0" applyFont="true" applyBorder="true" applyAlignment="true" applyProtection="false">
      <alignment horizontal="center" vertical="bottom" textRotation="0" wrapText="true" indent="0" shrinkToFit="false"/>
      <protection locked="true" hidden="false"/>
    </xf>
    <xf numFmtId="176" fontId="31" fillId="0" borderId="3" xfId="0" applyFont="true" applyBorder="true" applyAlignment="true" applyProtection="false">
      <alignment horizontal="center" vertical="bottom" textRotation="0" wrapText="true" indent="0" shrinkToFit="false"/>
      <protection locked="true" hidden="false"/>
    </xf>
    <xf numFmtId="176" fontId="31" fillId="0" borderId="3" xfId="0" applyFont="true" applyBorder="true" applyAlignment="true" applyProtection="false">
      <alignment horizontal="center" vertical="bottom" textRotation="0" wrapText="false" indent="0" shrinkToFit="false"/>
      <protection locked="true" hidden="false"/>
    </xf>
    <xf numFmtId="176" fontId="31" fillId="0" borderId="20" xfId="0" applyFont="true" applyBorder="true" applyAlignment="true" applyProtection="false">
      <alignment horizontal="general" vertical="top" textRotation="0" wrapText="false" indent="0" shrinkToFit="false"/>
      <protection locked="true" hidden="false"/>
    </xf>
    <xf numFmtId="176" fontId="31" fillId="0" borderId="14" xfId="0" applyFont="true" applyBorder="true" applyAlignment="true" applyProtection="false">
      <alignment horizontal="general" vertical="top" textRotation="0" wrapText="false" indent="0" shrinkToFit="false"/>
      <protection locked="true" hidden="false"/>
    </xf>
    <xf numFmtId="177" fontId="31" fillId="0" borderId="21" xfId="0" applyFont="true" applyBorder="true" applyAlignment="true" applyProtection="false">
      <alignment horizontal="right" vertical="bottom" textRotation="0" wrapText="true" indent="0" shrinkToFit="false"/>
      <protection locked="true" hidden="false"/>
    </xf>
    <xf numFmtId="176" fontId="31" fillId="0" borderId="23" xfId="0" applyFont="true" applyBorder="true" applyAlignment="true" applyProtection="false">
      <alignment horizontal="general" vertical="top" textRotation="0" wrapText="false" indent="0" shrinkToFit="false"/>
      <protection locked="true" hidden="false"/>
    </xf>
    <xf numFmtId="176" fontId="31" fillId="0" borderId="25" xfId="0" applyFont="true" applyBorder="true" applyAlignment="true" applyProtection="false">
      <alignment horizontal="general" vertical="top" textRotation="0" wrapText="false" indent="0" shrinkToFit="false"/>
      <protection locked="true" hidden="false"/>
    </xf>
    <xf numFmtId="177" fontId="31" fillId="0" borderId="23" xfId="0" applyFont="true" applyBorder="true" applyAlignment="true" applyProtection="false">
      <alignment horizontal="right" vertical="bottom" textRotation="0" wrapText="true" indent="0" shrinkToFit="false"/>
      <protection locked="true" hidden="false"/>
    </xf>
    <xf numFmtId="182" fontId="31" fillId="0" borderId="0" xfId="0" applyFont="true" applyBorder="true" applyAlignment="true" applyProtection="false">
      <alignment horizontal="right" vertical="bottom" textRotation="0" wrapText="true" indent="0" shrinkToFit="false"/>
      <protection locked="true" hidden="false"/>
    </xf>
    <xf numFmtId="176" fontId="31" fillId="0" borderId="14" xfId="0" applyFont="true" applyBorder="true" applyAlignment="true" applyProtection="false">
      <alignment horizontal="center" vertical="bottom" textRotation="0" wrapText="false" indent="0" shrinkToFit="false"/>
      <protection locked="true" hidden="false"/>
    </xf>
    <xf numFmtId="176" fontId="31" fillId="0" borderId="23" xfId="0" applyFont="true" applyBorder="true" applyAlignment="true" applyProtection="false">
      <alignment horizontal="center" vertical="bottom" textRotation="0" wrapText="false" indent="0" shrinkToFit="false"/>
      <protection locked="true" hidden="false"/>
    </xf>
    <xf numFmtId="176" fontId="31" fillId="0" borderId="20" xfId="0" applyFont="true" applyBorder="true" applyAlignment="true" applyProtection="false">
      <alignment horizontal="center" vertical="bottom" textRotation="0" wrapText="false" indent="0" shrinkToFit="false"/>
      <protection locked="true" hidden="false"/>
    </xf>
    <xf numFmtId="176" fontId="31" fillId="0" borderId="24" xfId="0" applyFont="true" applyBorder="true" applyAlignment="true" applyProtection="false">
      <alignment horizontal="center" vertical="bottom" textRotation="0" wrapText="false" indent="0" shrinkToFit="false"/>
      <protection locked="true" hidden="false"/>
    </xf>
    <xf numFmtId="176" fontId="31" fillId="0" borderId="0" xfId="0" applyFont="true" applyBorder="false" applyAlignment="true" applyProtection="false">
      <alignment horizontal="left" vertical="bottom" textRotation="0" wrapText="false" indent="0" shrinkToFit="false"/>
      <protection locked="true" hidden="false"/>
    </xf>
    <xf numFmtId="176" fontId="31" fillId="0" borderId="0" xfId="0" applyFont="true" applyBorder="false" applyAlignment="true" applyProtection="false">
      <alignment horizontal="left" vertical="bottom" textRotation="0" wrapText="true" indent="0" shrinkToFit="false"/>
      <protection locked="true" hidden="false"/>
    </xf>
    <xf numFmtId="176" fontId="31" fillId="0" borderId="20" xfId="0" applyFont="true" applyBorder="true" applyAlignment="true" applyProtection="false">
      <alignment horizontal="center" vertical="bottom" textRotation="0" wrapText="true" indent="0" shrinkToFit="false"/>
      <protection locked="true" hidden="false"/>
    </xf>
    <xf numFmtId="176" fontId="31" fillId="0" borderId="3" xfId="0" applyFont="true" applyBorder="true" applyAlignment="true" applyProtection="false">
      <alignment horizontal="left" vertical="bottom" textRotation="0" wrapText="true" indent="0" shrinkToFit="false"/>
      <protection locked="true" hidden="false"/>
    </xf>
    <xf numFmtId="176" fontId="31" fillId="0" borderId="3" xfId="0" applyFont="true" applyBorder="true" applyAlignment="true" applyProtection="false">
      <alignment horizontal="general" vertical="bottom" textRotation="0" wrapText="true" indent="0" shrinkToFit="false"/>
      <protection locked="true" hidden="false"/>
    </xf>
    <xf numFmtId="177" fontId="31" fillId="0" borderId="22" xfId="0" applyFont="true" applyBorder="true" applyAlignment="true" applyProtection="false">
      <alignment horizontal="right" vertical="bottom" textRotation="0" wrapText="true" indent="0" shrinkToFit="false"/>
      <protection locked="true" hidden="false"/>
    </xf>
    <xf numFmtId="176" fontId="31" fillId="0" borderId="21" xfId="0" applyFont="true" applyBorder="true" applyAlignment="true" applyProtection="false">
      <alignment horizontal="general" vertical="top" textRotation="0" wrapText="false" indent="0" shrinkToFit="false"/>
      <protection locked="true" hidden="false"/>
    </xf>
    <xf numFmtId="176" fontId="31" fillId="0" borderId="16" xfId="0" applyFont="true" applyBorder="true" applyAlignment="true" applyProtection="false">
      <alignment horizontal="center" vertical="bottom" textRotation="0" wrapText="true" indent="0" shrinkToFit="false"/>
      <protection locked="true" hidden="false"/>
    </xf>
    <xf numFmtId="176" fontId="31" fillId="0" borderId="3" xfId="0" applyFont="true" applyBorder="true" applyAlignment="true" applyProtection="false">
      <alignment horizontal="right" vertical="bottom" textRotation="0" wrapText="true" indent="0" shrinkToFit="false"/>
      <protection locked="true" hidden="false"/>
    </xf>
    <xf numFmtId="177" fontId="31" fillId="0" borderId="3" xfId="0" applyFont="true" applyBorder="true" applyAlignment="true" applyProtection="false">
      <alignment horizontal="right" vertical="bottom" textRotation="0" wrapText="true" indent="0" shrinkToFit="false"/>
      <protection locked="true" hidden="false"/>
    </xf>
    <xf numFmtId="176" fontId="31" fillId="0" borderId="17" xfId="0" applyFont="true" applyBorder="true" applyAlignment="true" applyProtection="false">
      <alignment horizontal="right" vertical="bottom" textRotation="0" wrapText="true" indent="0" shrinkToFit="false"/>
      <protection locked="true" hidden="false"/>
    </xf>
    <xf numFmtId="177" fontId="31" fillId="0" borderId="18" xfId="0" applyFont="true" applyBorder="true" applyAlignment="true" applyProtection="false">
      <alignment horizontal="right" vertical="bottom" textRotation="0" wrapText="true" indent="0" shrinkToFit="false"/>
      <protection locked="true" hidden="false"/>
    </xf>
    <xf numFmtId="176" fontId="33" fillId="0" borderId="19" xfId="0" applyFont="true" applyBorder="true" applyAlignment="true" applyProtection="false">
      <alignment horizontal="center" vertical="top" textRotation="0" wrapText="true" indent="0" shrinkToFit="false"/>
      <protection locked="true" hidden="false"/>
    </xf>
    <xf numFmtId="176" fontId="33" fillId="0" borderId="21" xfId="0" applyFont="true" applyBorder="true" applyAlignment="true" applyProtection="false">
      <alignment horizontal="center" vertical="top" textRotation="0" wrapText="true" indent="0" shrinkToFit="false"/>
      <protection locked="true" hidden="false"/>
    </xf>
    <xf numFmtId="176" fontId="44" fillId="0" borderId="0" xfId="0" applyFont="true" applyBorder="true" applyAlignment="false" applyProtection="false">
      <alignment horizontal="general" vertical="bottom" textRotation="0" wrapText="false" indent="0" shrinkToFit="false"/>
      <protection locked="true" hidden="false"/>
    </xf>
    <xf numFmtId="176" fontId="31" fillId="0" borderId="27" xfId="0" applyFont="true" applyBorder="true" applyAlignment="true" applyProtection="false">
      <alignment horizontal="left" vertical="bottom" textRotation="0" wrapText="true" indent="0" shrinkToFit="false"/>
      <protection locked="true" hidden="false"/>
    </xf>
    <xf numFmtId="176" fontId="30" fillId="0" borderId="17" xfId="0" applyFont="true" applyBorder="true" applyAlignment="false" applyProtection="false">
      <alignment horizontal="general" vertical="bottom" textRotation="0" wrapText="false" indent="0" shrinkToFit="false"/>
      <protection locked="true" hidden="false"/>
    </xf>
    <xf numFmtId="176" fontId="30" fillId="0" borderId="18" xfId="0" applyFont="true" applyBorder="true" applyAlignment="false" applyProtection="false">
      <alignment horizontal="general" vertical="bottom" textRotation="0" wrapText="false" indent="0" shrinkToFit="false"/>
      <protection locked="true" hidden="false"/>
    </xf>
    <xf numFmtId="176" fontId="30" fillId="0" borderId="3" xfId="0" applyFont="true" applyBorder="true" applyAlignment="false" applyProtection="false">
      <alignment horizontal="general" vertical="bottom" textRotation="0" wrapText="false" indent="0" shrinkToFit="false"/>
      <protection locked="true" hidden="false"/>
    </xf>
    <xf numFmtId="176" fontId="35" fillId="0" borderId="25" xfId="0" applyFont="true" applyBorder="true" applyAlignment="false" applyProtection="false">
      <alignment horizontal="general" vertical="bottom" textRotation="0" wrapText="false" indent="0" shrinkToFit="false"/>
      <protection locked="true" hidden="false"/>
    </xf>
    <xf numFmtId="176" fontId="30" fillId="0" borderId="25" xfId="0" applyFont="true" applyBorder="true" applyAlignment="true" applyProtection="false">
      <alignment horizontal="center" vertical="bottom" textRotation="0" wrapText="false" indent="0" shrinkToFit="false"/>
      <protection locked="true" hidden="false"/>
    </xf>
    <xf numFmtId="176" fontId="30" fillId="0" borderId="27" xfId="0" applyFont="true" applyBorder="true" applyAlignment="true" applyProtection="false">
      <alignment horizontal="center" vertical="bottom" textRotation="0" wrapText="false" indent="0" shrinkToFit="false"/>
      <protection locked="true" hidden="false"/>
    </xf>
    <xf numFmtId="176" fontId="31" fillId="0" borderId="14" xfId="0" applyFont="true" applyBorder="true" applyAlignment="false" applyProtection="false">
      <alignment horizontal="general" vertical="bottom" textRotation="0" wrapText="false" indent="0" shrinkToFit="false"/>
      <protection locked="true" hidden="false"/>
    </xf>
    <xf numFmtId="176" fontId="38" fillId="0" borderId="19"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right" vertical="bottom" textRotation="0" wrapText="false" indent="0" shrinkToFit="false"/>
      <protection locked="true" hidden="false"/>
    </xf>
    <xf numFmtId="176" fontId="31" fillId="0" borderId="0" xfId="0" applyFont="true" applyBorder="true" applyAlignment="true" applyProtection="false">
      <alignment horizontal="right" vertical="bottom" textRotation="0" wrapText="false" indent="0" shrinkToFit="false"/>
      <protection locked="true" hidden="false"/>
    </xf>
    <xf numFmtId="176" fontId="45" fillId="0" borderId="0" xfId="0" applyFont="true" applyBorder="true" applyAlignment="false" applyProtection="false">
      <alignment horizontal="general" vertical="bottom" textRotation="0" wrapText="false" indent="0" shrinkToFit="false"/>
      <protection locked="true" hidden="false"/>
    </xf>
    <xf numFmtId="176" fontId="35" fillId="0" borderId="16" xfId="0" applyFont="true" applyBorder="true" applyAlignment="false" applyProtection="false">
      <alignment horizontal="general" vertical="bottom" textRotation="0" wrapText="false" indent="0" shrinkToFit="false"/>
      <protection locked="true" hidden="false"/>
    </xf>
    <xf numFmtId="176" fontId="31" fillId="0" borderId="21" xfId="0" applyFont="true" applyBorder="true" applyAlignment="true" applyProtection="false">
      <alignment horizontal="left" vertical="top" textRotation="0" wrapText="true" indent="0" shrinkToFit="false"/>
      <protection locked="true" hidden="false"/>
    </xf>
    <xf numFmtId="176" fontId="30" fillId="0" borderId="20" xfId="0" applyFont="true" applyBorder="true" applyAlignment="false" applyProtection="false">
      <alignment horizontal="general" vertical="bottom" textRotation="0" wrapText="false" indent="0" shrinkToFit="false"/>
      <protection locked="true" hidden="false"/>
    </xf>
    <xf numFmtId="178" fontId="46" fillId="0" borderId="14" xfId="138" applyFont="true" applyBorder="true" applyAlignment="false" applyProtection="false">
      <alignment horizontal="general" vertical="bottom" textRotation="0" wrapText="false" indent="0" shrinkToFit="false"/>
      <protection locked="true" hidden="false"/>
    </xf>
    <xf numFmtId="178" fontId="46" fillId="0" borderId="15" xfId="138" applyFont="true" applyBorder="true" applyAlignment="false" applyProtection="false">
      <alignment horizontal="general" vertical="bottom" textRotation="0" wrapText="false" indent="0" shrinkToFit="false"/>
      <protection locked="true" hidden="false"/>
    </xf>
    <xf numFmtId="164" fontId="9" fillId="0" borderId="15" xfId="138" applyFont="true" applyBorder="true" applyAlignment="false" applyProtection="false">
      <alignment horizontal="general" vertical="bottom" textRotation="0" wrapText="false" indent="0" shrinkToFit="false"/>
      <protection locked="true" hidden="false"/>
    </xf>
    <xf numFmtId="164" fontId="9" fillId="0" borderId="24" xfId="138" applyFont="true" applyBorder="true" applyAlignment="false" applyProtection="false">
      <alignment horizontal="general" vertical="bottom" textRotation="0" wrapText="false" indent="0" shrinkToFit="false"/>
      <protection locked="true" hidden="false"/>
    </xf>
    <xf numFmtId="178" fontId="46" fillId="0" borderId="19" xfId="138" applyFont="true" applyBorder="true" applyAlignment="false" applyProtection="false">
      <alignment horizontal="general" vertical="bottom" textRotation="0" wrapText="false" indent="0" shrinkToFit="false"/>
      <protection locked="true" hidden="false"/>
    </xf>
    <xf numFmtId="178" fontId="46" fillId="0" borderId="0" xfId="138" applyFont="true" applyBorder="true" applyAlignment="false" applyProtection="false">
      <alignment horizontal="general" vertical="bottom" textRotation="0" wrapText="false" indent="0" shrinkToFit="false"/>
      <protection locked="true" hidden="false"/>
    </xf>
    <xf numFmtId="164" fontId="9" fillId="0" borderId="0" xfId="138" applyFont="true" applyBorder="true" applyAlignment="false" applyProtection="false">
      <alignment horizontal="general" vertical="bottom" textRotation="0" wrapText="false" indent="0" shrinkToFit="false"/>
      <protection locked="true" hidden="false"/>
    </xf>
    <xf numFmtId="164" fontId="9" fillId="0" borderId="22" xfId="138" applyFont="true" applyBorder="true" applyAlignment="false" applyProtection="false">
      <alignment horizontal="general" vertical="bottom" textRotation="0" wrapText="false" indent="0" shrinkToFit="false"/>
      <protection locked="true" hidden="false"/>
    </xf>
    <xf numFmtId="176" fontId="31" fillId="0" borderId="19" xfId="0" applyFont="true" applyBorder="true" applyAlignment="true" applyProtection="false">
      <alignment horizontal="general" vertical="bottom" textRotation="0" wrapText="false" indent="0" shrinkToFit="false"/>
      <protection locked="true" hidden="false"/>
    </xf>
    <xf numFmtId="176" fontId="31" fillId="0" borderId="0" xfId="0" applyFont="true" applyBorder="true" applyAlignment="true" applyProtection="false">
      <alignment horizontal="general" vertical="bottom" textRotation="0" wrapText="false" indent="0" shrinkToFit="false"/>
      <protection locked="true" hidden="false"/>
    </xf>
    <xf numFmtId="176" fontId="31" fillId="0" borderId="0" xfId="0" applyFont="true" applyBorder="true" applyAlignment="true" applyProtection="false">
      <alignment horizontal="left" vertical="top" textRotation="0" wrapText="true" indent="0" shrinkToFit="false"/>
      <protection locked="true" hidden="false"/>
    </xf>
    <xf numFmtId="176" fontId="31" fillId="0" borderId="22" xfId="0" applyFont="true" applyBorder="true" applyAlignment="true" applyProtection="false">
      <alignment horizontal="left" vertical="top" textRotation="0" wrapText="true" indent="0" shrinkToFit="false"/>
      <protection locked="true" hidden="false"/>
    </xf>
    <xf numFmtId="176" fontId="31" fillId="0" borderId="0" xfId="0" applyFont="true" applyBorder="false" applyAlignment="true" applyProtection="false">
      <alignment horizontal="left" vertical="bottom" textRotation="0" wrapText="false" indent="1" shrinkToFit="false"/>
      <protection locked="true" hidden="false"/>
    </xf>
    <xf numFmtId="176" fontId="41" fillId="0" borderId="0" xfId="0" applyFont="true" applyBorder="false" applyAlignment="true" applyProtection="false">
      <alignment horizontal="general" vertical="top" textRotation="0" wrapText="false" indent="0" shrinkToFit="false"/>
      <protection locked="true" hidden="false"/>
    </xf>
    <xf numFmtId="178" fontId="30" fillId="0" borderId="27" xfId="0" applyFont="true" applyBorder="true" applyAlignment="false" applyProtection="false">
      <alignment horizontal="general" vertical="bottom" textRotation="0" wrapText="false" indent="0" shrinkToFit="false"/>
      <protection locked="true" hidden="false"/>
    </xf>
    <xf numFmtId="178" fontId="30" fillId="0" borderId="0" xfId="0" applyFont="true" applyBorder="true" applyAlignment="false" applyProtection="false">
      <alignment horizontal="general" vertical="bottom" textRotation="0" wrapText="false" indent="0" shrinkToFit="false"/>
      <protection locked="true" hidden="false"/>
    </xf>
    <xf numFmtId="176" fontId="31" fillId="0" borderId="0" xfId="0" applyFont="true" applyBorder="true" applyAlignment="true" applyProtection="false">
      <alignment horizontal="justify" vertical="top" textRotation="0" wrapText="true" indent="0" shrinkToFit="false"/>
      <protection locked="true" hidden="false"/>
    </xf>
    <xf numFmtId="178" fontId="30" fillId="0" borderId="3" xfId="0" applyFont="true" applyBorder="true" applyAlignment="true" applyProtection="false">
      <alignment horizontal="center" vertical="bottom" textRotation="0" wrapText="false" indent="0" shrinkToFit="false"/>
      <protection locked="true" hidden="false"/>
    </xf>
    <xf numFmtId="178" fontId="31" fillId="0" borderId="24" xfId="0" applyFont="true" applyBorder="true" applyAlignment="false" applyProtection="false">
      <alignment horizontal="general" vertical="bottom" textRotation="0" wrapText="false" indent="0" shrinkToFit="false"/>
      <protection locked="true" hidden="false"/>
    </xf>
    <xf numFmtId="178" fontId="47" fillId="0" borderId="19" xfId="0" applyFont="true" applyBorder="true" applyAlignment="false" applyProtection="false">
      <alignment horizontal="general" vertical="bottom" textRotation="0" wrapText="false" indent="0" shrinkToFit="false"/>
      <protection locked="true" hidden="false"/>
    </xf>
    <xf numFmtId="178" fontId="30" fillId="0" borderId="18" xfId="0" applyFont="true" applyBorder="true" applyAlignment="false" applyProtection="false">
      <alignment horizontal="general" vertical="bottom" textRotation="0" wrapText="false" indent="0" shrinkToFit="false"/>
      <protection locked="true" hidden="false"/>
    </xf>
    <xf numFmtId="176" fontId="35" fillId="0" borderId="20" xfId="0" applyFont="true" applyBorder="true" applyAlignment="false" applyProtection="false">
      <alignment horizontal="general" vertical="bottom" textRotation="0" wrapText="false" indent="0" shrinkToFit="false"/>
      <protection locked="true" hidden="false"/>
    </xf>
    <xf numFmtId="178" fontId="30" fillId="0" borderId="14" xfId="0" applyFont="true" applyBorder="true" applyAlignment="true" applyProtection="false">
      <alignment horizontal="center" vertical="center" textRotation="0" wrapText="false" indent="0" shrinkToFit="false"/>
      <protection locked="true" hidden="false"/>
    </xf>
    <xf numFmtId="176" fontId="31" fillId="0" borderId="3" xfId="0" applyFont="true" applyBorder="true" applyAlignment="true" applyProtection="false">
      <alignment horizontal="center" vertical="center" textRotation="0" wrapText="false" indent="0" shrinkToFit="false"/>
      <protection locked="true" hidden="false"/>
    </xf>
    <xf numFmtId="176" fontId="31" fillId="0" borderId="3" xfId="0" applyFont="true" applyBorder="true" applyAlignment="true" applyProtection="false">
      <alignment horizontal="general" vertical="center" textRotation="0" wrapText="false" indent="0" shrinkToFit="false"/>
      <protection locked="true" hidden="false"/>
    </xf>
    <xf numFmtId="176" fontId="30" fillId="0" borderId="23"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76" fontId="31" fillId="0" borderId="23" xfId="0" applyFont="true" applyBorder="true" applyAlignment="true" applyProtection="false">
      <alignment horizontal="left" vertical="bottom" textRotation="0" wrapText="false" indent="0" shrinkToFit="false"/>
      <protection locked="true" hidden="false"/>
    </xf>
    <xf numFmtId="178" fontId="30" fillId="0" borderId="3" xfId="0" applyFont="true" applyBorder="true" applyAlignment="true" applyProtection="false">
      <alignment horizontal="center" vertical="center" textRotation="0" wrapText="false" indent="0" shrinkToFit="false"/>
      <protection locked="true" hidden="false"/>
    </xf>
    <xf numFmtId="176" fontId="35" fillId="0" borderId="0" xfId="0" applyFont="true" applyBorder="true" applyAlignment="false" applyProtection="false">
      <alignment horizontal="general" vertical="bottom" textRotation="0" wrapText="false" indent="0" shrinkToFit="false"/>
      <protection locked="true" hidden="false"/>
    </xf>
    <xf numFmtId="176" fontId="35" fillId="0" borderId="0" xfId="0" applyFont="true" applyBorder="false" applyAlignment="false" applyProtection="false">
      <alignment horizontal="general" vertical="bottom" textRotation="0" wrapText="false" indent="0" shrinkToFit="false"/>
      <protection locked="true" hidden="false"/>
    </xf>
    <xf numFmtId="176" fontId="30" fillId="0" borderId="22" xfId="0" applyFont="true" applyBorder="true" applyAlignment="true" applyProtection="false">
      <alignment horizontal="general" vertical="top" textRotation="0" wrapText="false" indent="0" shrinkToFit="false"/>
      <protection locked="true" hidden="false"/>
    </xf>
    <xf numFmtId="164" fontId="39" fillId="0" borderId="19" xfId="0" applyFont="true" applyBorder="true" applyAlignment="false" applyProtection="false">
      <alignment horizontal="general" vertical="bottom" textRotation="0" wrapText="false" indent="0" shrinkToFit="false"/>
      <protection locked="true" hidden="false"/>
    </xf>
    <xf numFmtId="176" fontId="30" fillId="0" borderId="0" xfId="0" applyFont="true" applyBorder="false" applyAlignment="false" applyProtection="false">
      <alignment horizontal="general" vertical="bottom" textRotation="0" wrapText="false" indent="0" shrinkToFit="false"/>
      <protection locked="true" hidden="false"/>
    </xf>
    <xf numFmtId="176" fontId="33" fillId="0" borderId="3" xfId="0" applyFont="true" applyBorder="true" applyAlignment="true" applyProtection="false">
      <alignment horizontal="center" vertical="bottom" textRotation="0" wrapText="false" indent="0" shrinkToFit="false"/>
      <protection locked="true" hidden="false"/>
    </xf>
    <xf numFmtId="176" fontId="31" fillId="0" borderId="21" xfId="0" applyFont="true" applyBorder="true" applyAlignment="true" applyProtection="false">
      <alignment horizontal="center" vertical="bottom" textRotation="0" wrapText="false" indent="0" shrinkToFit="false"/>
      <protection locked="true" hidden="false"/>
    </xf>
    <xf numFmtId="176" fontId="31" fillId="0" borderId="3" xfId="0" applyFont="true" applyBorder="true" applyAlignment="true" applyProtection="false">
      <alignment horizontal="right" vertical="bottom" textRotation="0" wrapText="false" indent="0" shrinkToFit="false"/>
      <protection locked="true" hidden="false"/>
    </xf>
    <xf numFmtId="176" fontId="31" fillId="0" borderId="21" xfId="0" applyFont="true" applyBorder="true" applyAlignment="true" applyProtection="false">
      <alignment horizontal="general" vertical="bottom" textRotation="0" wrapText="false" indent="0" shrinkToFit="false"/>
      <protection locked="true" hidden="false"/>
    </xf>
    <xf numFmtId="176" fontId="31" fillId="0" borderId="3" xfId="0" applyFont="true" applyBorder="true" applyAlignment="true" applyProtection="false">
      <alignment horizontal="general" vertical="bottom" textRotation="0" wrapText="false" indent="0" shrinkToFit="false"/>
      <protection locked="true" hidden="false"/>
    </xf>
    <xf numFmtId="176" fontId="30" fillId="0" borderId="3" xfId="0" applyFont="true" applyBorder="true" applyAlignment="true" applyProtection="false">
      <alignment horizontal="general" vertical="bottom" textRotation="0" wrapText="false" indent="0" shrinkToFit="false"/>
      <protection locked="true" hidden="false"/>
    </xf>
    <xf numFmtId="176" fontId="31" fillId="0" borderId="20" xfId="0" applyFont="true" applyBorder="true" applyAlignment="true" applyProtection="false">
      <alignment horizontal="right" vertical="bottom" textRotation="0" wrapText="false" indent="0" shrinkToFit="false"/>
      <protection locked="true" hidden="false"/>
    </xf>
    <xf numFmtId="176" fontId="31" fillId="0" borderId="22" xfId="0" applyFont="true" applyBorder="true" applyAlignment="true" applyProtection="false">
      <alignment horizontal="right" vertical="bottom" textRotation="0" wrapText="false" indent="0" shrinkToFit="false"/>
      <protection locked="true" hidden="false"/>
    </xf>
    <xf numFmtId="164" fontId="31" fillId="0" borderId="22" xfId="0" applyFont="true" applyBorder="true" applyAlignment="true" applyProtection="false">
      <alignment horizontal="right" vertical="bottom" textRotation="0" wrapText="false" indent="0" shrinkToFit="false"/>
      <protection locked="true" hidden="false"/>
    </xf>
    <xf numFmtId="176" fontId="31" fillId="0" borderId="18" xfId="0" applyFont="true" applyBorder="true" applyAlignment="true" applyProtection="false">
      <alignment horizontal="right" vertical="bottom" textRotation="0" wrapText="false" indent="0" shrinkToFit="false"/>
      <protection locked="true" hidden="false"/>
    </xf>
    <xf numFmtId="164" fontId="31" fillId="0" borderId="21" xfId="0" applyFont="true" applyBorder="true" applyAlignment="false" applyProtection="false">
      <alignment horizontal="general" vertical="bottom" textRotation="0" wrapText="false" indent="0" shrinkToFit="false"/>
      <protection locked="true" hidden="false"/>
    </xf>
    <xf numFmtId="183" fontId="30" fillId="0" borderId="3" xfId="0" applyFont="true" applyBorder="true" applyAlignment="false" applyProtection="false">
      <alignment horizontal="general" vertical="bottom" textRotation="0" wrapText="false" indent="0" shrinkToFit="false"/>
      <protection locked="true" hidden="false"/>
    </xf>
    <xf numFmtId="176" fontId="35" fillId="0" borderId="26" xfId="0" applyFont="true" applyBorder="true" applyAlignment="false" applyProtection="false">
      <alignment horizontal="general" vertical="bottom" textRotation="0" wrapText="false" indent="0" shrinkToFit="false"/>
      <protection locked="true" hidden="false"/>
    </xf>
    <xf numFmtId="176" fontId="31" fillId="0" borderId="3" xfId="0" applyFont="true" applyBorder="true" applyAlignment="true" applyProtection="false">
      <alignment horizontal="center" vertical="center" textRotation="0" wrapText="true" indent="0" shrinkToFit="false"/>
      <protection locked="true" hidden="false"/>
    </xf>
    <xf numFmtId="176" fontId="31" fillId="0" borderId="19" xfId="0" applyFont="true" applyBorder="true" applyAlignment="true" applyProtection="false">
      <alignment horizontal="general" vertical="bottom" textRotation="0" wrapText="true" indent="0" shrinkToFit="false"/>
      <protection locked="true" hidden="false"/>
    </xf>
    <xf numFmtId="176" fontId="31" fillId="0" borderId="21" xfId="0" applyFont="true" applyBorder="true" applyAlignment="true" applyProtection="false">
      <alignment horizontal="left" vertical="top" textRotation="0" wrapText="false" indent="0" shrinkToFit="false"/>
      <protection locked="true" hidden="false"/>
    </xf>
    <xf numFmtId="176" fontId="31" fillId="0" borderId="25" xfId="0" applyFont="true" applyBorder="true" applyAlignment="true" applyProtection="false">
      <alignment horizontal="general" vertical="bottom" textRotation="0" wrapText="true" indent="0" shrinkToFit="false"/>
      <protection locked="true" hidden="false"/>
    </xf>
    <xf numFmtId="176" fontId="31" fillId="0" borderId="0" xfId="0" applyFont="true" applyBorder="false" applyAlignment="true" applyProtection="false">
      <alignment horizontal="general" vertical="bottom" textRotation="0" wrapText="false" indent="0" shrinkToFit="false"/>
      <protection locked="true" hidden="false"/>
    </xf>
    <xf numFmtId="176" fontId="31" fillId="0" borderId="3" xfId="0" applyFont="true" applyBorder="true" applyAlignment="true" applyProtection="false">
      <alignment horizontal="general" vertical="top" textRotation="0" wrapText="true" indent="0" shrinkToFit="false"/>
      <protection locked="true" hidden="false"/>
    </xf>
    <xf numFmtId="176" fontId="31" fillId="0" borderId="0" xfId="0" applyFont="true" applyBorder="true" applyAlignment="true" applyProtection="false">
      <alignment horizontal="general" vertical="bottom" textRotation="0" wrapText="true" indent="0" shrinkToFit="false"/>
      <protection locked="true" hidden="false"/>
    </xf>
    <xf numFmtId="176" fontId="30" fillId="0" borderId="3" xfId="0" applyFont="true" applyBorder="true" applyAlignment="true" applyProtection="false">
      <alignment horizontal="right" vertical="bottom" textRotation="0" wrapText="false" indent="0" shrinkToFit="false"/>
      <protection locked="true" hidden="false"/>
    </xf>
    <xf numFmtId="176" fontId="35" fillId="0" borderId="19" xfId="0" applyFont="true" applyBorder="true" applyAlignment="false" applyProtection="false">
      <alignment horizontal="general" vertical="bottom" textRotation="0" wrapText="false" indent="0" shrinkToFit="false"/>
      <protection locked="true" hidden="false"/>
    </xf>
    <xf numFmtId="176" fontId="33" fillId="0" borderId="18" xfId="0" applyFont="true" applyBorder="true" applyAlignment="true" applyProtection="false">
      <alignment horizontal="center" vertical="bottom" textRotation="0" wrapText="false" indent="0" shrinkToFit="false"/>
      <protection locked="true" hidden="false"/>
    </xf>
    <xf numFmtId="176" fontId="31" fillId="0" borderId="20" xfId="0" applyFont="true" applyBorder="true" applyAlignment="true" applyProtection="false">
      <alignment horizontal="left" vertical="bottom" textRotation="0" wrapText="true" indent="0" shrinkToFit="false"/>
      <protection locked="true" hidden="false"/>
    </xf>
    <xf numFmtId="176" fontId="31" fillId="0" borderId="23" xfId="0" applyFont="true" applyBorder="true" applyAlignment="true" applyProtection="false">
      <alignment horizontal="left" vertical="top" textRotation="0" wrapText="true" indent="0" shrinkToFit="false"/>
      <protection locked="true" hidden="false"/>
    </xf>
    <xf numFmtId="176" fontId="30" fillId="0" borderId="14" xfId="0" applyFont="true" applyBorder="true" applyAlignment="false" applyProtection="false">
      <alignment horizontal="general" vertical="bottom" textRotation="0" wrapText="false" indent="0" shrinkToFit="false"/>
      <protection locked="true" hidden="false"/>
    </xf>
    <xf numFmtId="176" fontId="38" fillId="0" borderId="14" xfId="0" applyFont="true" applyBorder="true" applyAlignment="false" applyProtection="false">
      <alignment horizontal="general" vertical="bottom" textRotation="0" wrapText="false" indent="0" shrinkToFit="false"/>
      <protection locked="true" hidden="false"/>
    </xf>
    <xf numFmtId="176" fontId="38" fillId="0" borderId="15" xfId="0" applyFont="true" applyBorder="true" applyAlignment="false" applyProtection="false">
      <alignment horizontal="general" vertical="bottom" textRotation="0" wrapText="false" indent="0" shrinkToFit="false"/>
      <protection locked="true" hidden="false"/>
    </xf>
    <xf numFmtId="176" fontId="38" fillId="0" borderId="20" xfId="0" applyFont="true" applyBorder="true" applyAlignment="false" applyProtection="false">
      <alignment horizontal="general" vertical="bottom" textRotation="0" wrapText="false" indent="0" shrinkToFit="false"/>
      <protection locked="true" hidden="false"/>
    </xf>
    <xf numFmtId="176" fontId="38" fillId="0" borderId="21" xfId="0" applyFont="true" applyBorder="true" applyAlignment="false" applyProtection="false">
      <alignment horizontal="general" vertical="bottom" textRotation="0" wrapText="false" indent="0" shrinkToFit="false"/>
      <protection locked="true" hidden="false"/>
    </xf>
    <xf numFmtId="164" fontId="9" fillId="0" borderId="19" xfId="0" applyFont="true" applyBorder="true" applyAlignment="true" applyProtection="false">
      <alignment horizontal="general" vertical="bottom" textRotation="0" wrapText="false" indent="0" shrinkToFit="false"/>
      <protection locked="true" hidden="false"/>
    </xf>
    <xf numFmtId="176" fontId="48" fillId="0" borderId="19" xfId="0" applyFont="true" applyBorder="true" applyAlignment="false" applyProtection="false">
      <alignment horizontal="general" vertical="bottom" textRotation="0" wrapText="false" indent="0" shrinkToFit="false"/>
      <protection locked="true" hidden="false"/>
    </xf>
    <xf numFmtId="176" fontId="36" fillId="0" borderId="0" xfId="0" applyFont="true" applyBorder="true" applyAlignment="false" applyProtection="false">
      <alignment horizontal="general" vertical="bottom" textRotation="0" wrapText="false" indent="0" shrinkToFit="false"/>
      <protection locked="true" hidden="false"/>
    </xf>
    <xf numFmtId="164" fontId="9" fillId="0" borderId="21" xfId="0" applyFont="true" applyBorder="true" applyAlignment="true" applyProtection="false">
      <alignment horizontal="general" vertical="bottom" textRotation="0" wrapText="false" indent="0" shrinkToFit="false"/>
      <protection locked="true" hidden="false"/>
    </xf>
    <xf numFmtId="176" fontId="30" fillId="0" borderId="0" xfId="0" applyFont="true" applyBorder="true" applyAlignment="true" applyProtection="false">
      <alignment horizontal="right" vertical="bottom" textRotation="0" wrapText="true" indent="0" shrinkToFit="false"/>
      <protection locked="true" hidden="false"/>
    </xf>
    <xf numFmtId="184" fontId="31" fillId="0" borderId="23" xfId="0" applyFont="true" applyBorder="true" applyAlignment="false" applyProtection="false">
      <alignment horizontal="general" vertical="bottom" textRotation="0" wrapText="false" indent="0" shrinkToFit="false"/>
      <protection locked="true" hidden="false"/>
    </xf>
    <xf numFmtId="176" fontId="31" fillId="0" borderId="29" xfId="0" applyFont="true" applyBorder="true" applyAlignment="false" applyProtection="false">
      <alignment horizontal="general" vertical="bottom" textRotation="0" wrapText="false" indent="0" shrinkToFit="false"/>
      <protection locked="true" hidden="false"/>
    </xf>
    <xf numFmtId="176" fontId="31" fillId="0" borderId="30" xfId="0" applyFont="true" applyBorder="true" applyAlignment="false" applyProtection="false">
      <alignment horizontal="general" vertical="bottom" textRotation="0" wrapText="false" indent="0" shrinkToFit="false"/>
      <protection locked="true" hidden="false"/>
    </xf>
    <xf numFmtId="176" fontId="30" fillId="0" borderId="30" xfId="0" applyFont="true" applyBorder="true" applyAlignment="true" applyProtection="false">
      <alignment horizontal="right" vertical="bottom" textRotation="0" wrapText="true" indent="0" shrinkToFit="false"/>
      <protection locked="true" hidden="false"/>
    </xf>
    <xf numFmtId="176" fontId="35" fillId="0" borderId="0" xfId="0" applyFont="true" applyBorder="false" applyAlignment="true" applyProtection="false">
      <alignment horizontal="right" vertical="bottom" textRotation="0" wrapText="false" indent="0" shrinkToFit="false"/>
      <protection locked="true" hidden="false"/>
    </xf>
    <xf numFmtId="176" fontId="31" fillId="0" borderId="19" xfId="0" applyFont="true" applyBorder="true" applyAlignment="true" applyProtection="false">
      <alignment horizontal="left" vertical="bottom" textRotation="0" wrapText="false" indent="1" shrinkToFit="false"/>
      <protection locked="true" hidden="false"/>
    </xf>
    <xf numFmtId="176" fontId="30" fillId="0" borderId="0" xfId="0" applyFont="true" applyBorder="false" applyAlignment="true" applyProtection="false">
      <alignment horizontal="right" vertical="bottom" textRotation="0" wrapText="true" indent="0" shrinkToFit="false"/>
      <protection locked="true" hidden="false"/>
    </xf>
    <xf numFmtId="176" fontId="31" fillId="0" borderId="14" xfId="0" applyFont="true" applyBorder="true" applyAlignment="true" applyProtection="false">
      <alignment horizontal="left" vertical="bottom" textRotation="0" wrapText="false" indent="1" shrinkToFit="false"/>
      <protection locked="true" hidden="false"/>
    </xf>
    <xf numFmtId="176" fontId="31" fillId="0" borderId="15" xfId="0" applyFont="true" applyBorder="true" applyAlignment="true" applyProtection="false">
      <alignment horizontal="left" vertical="bottom" textRotation="0" wrapText="false" indent="1" shrinkToFit="false"/>
      <protection locked="true" hidden="false"/>
    </xf>
    <xf numFmtId="176" fontId="30" fillId="0" borderId="25" xfId="0" applyFont="true" applyBorder="true" applyAlignment="true" applyProtection="false">
      <alignment horizontal="right" vertical="bottom" textRotation="0" wrapText="true" indent="0" shrinkToFit="false"/>
      <protection locked="true" hidden="false"/>
    </xf>
    <xf numFmtId="176" fontId="30" fillId="0" borderId="26" xfId="0" applyFont="true" applyBorder="true" applyAlignment="true" applyProtection="false">
      <alignment horizontal="right" vertical="bottom" textRotation="0" wrapText="true" indent="0" shrinkToFit="false"/>
      <protection locked="true" hidden="false"/>
    </xf>
    <xf numFmtId="176" fontId="9" fillId="0" borderId="21" xfId="0" applyFont="true" applyBorder="true" applyAlignment="false" applyProtection="false">
      <alignment horizontal="general" vertical="bottom" textRotation="0" wrapText="false" indent="0" shrinkToFit="false"/>
      <protection locked="true" hidden="false"/>
    </xf>
    <xf numFmtId="164" fontId="31" fillId="0" borderId="22" xfId="0" applyFont="true" applyBorder="true" applyAlignment="false" applyProtection="false">
      <alignment horizontal="general" vertical="bottom" textRotation="0" wrapText="false" indent="0" shrinkToFit="false"/>
      <protection locked="true" hidden="false"/>
    </xf>
    <xf numFmtId="176" fontId="31" fillId="0" borderId="0" xfId="0" applyFont="true" applyBorder="false" applyAlignment="true" applyProtection="false">
      <alignment horizontal="general" vertical="top" textRotation="0" wrapText="false" indent="0" shrinkToFit="false"/>
      <protection locked="true" hidden="false"/>
    </xf>
    <xf numFmtId="176" fontId="31" fillId="0" borderId="14" xfId="0" applyFont="true" applyBorder="true" applyAlignment="true" applyProtection="false">
      <alignment horizontal="general" vertical="bottom" textRotation="0" wrapText="false" indent="0" shrinkToFit="false"/>
      <protection locked="true" hidden="false"/>
    </xf>
    <xf numFmtId="176" fontId="31" fillId="0" borderId="15" xfId="0" applyFont="true" applyBorder="true" applyAlignment="true" applyProtection="false">
      <alignment horizontal="general" vertical="bottom" textRotation="0" wrapText="false" indent="0" shrinkToFit="false"/>
      <protection locked="true" hidden="false"/>
    </xf>
    <xf numFmtId="178" fontId="31" fillId="0" borderId="0" xfId="121" applyFont="true" applyBorder="true" applyAlignment="true" applyProtection="false">
      <alignment horizontal="general" vertical="bottom" textRotation="0" wrapText="false" indent="0" shrinkToFit="false"/>
      <protection locked="true" hidden="false"/>
    </xf>
    <xf numFmtId="176" fontId="31" fillId="0" borderId="27" xfId="0" applyFont="true" applyBorder="true" applyAlignment="true" applyProtection="false">
      <alignment horizontal="general" vertical="bottom" textRotation="0" wrapText="false" indent="0" shrinkToFit="false"/>
      <protection locked="true" hidden="false"/>
    </xf>
    <xf numFmtId="176" fontId="31" fillId="0" borderId="24" xfId="0" applyFont="true" applyBorder="true" applyAlignment="true" applyProtection="false">
      <alignment horizontal="general" vertical="bottom" textRotation="0" wrapText="false" indent="0" shrinkToFit="false"/>
      <protection locked="true" hidden="false"/>
    </xf>
    <xf numFmtId="176" fontId="31" fillId="0" borderId="22" xfId="0" applyFont="true" applyBorder="true" applyAlignment="true" applyProtection="false">
      <alignment horizontal="general" vertical="bottom" textRotation="0" wrapText="false" indent="0" shrinkToFit="false"/>
      <protection locked="true" hidden="false"/>
    </xf>
    <xf numFmtId="176" fontId="33" fillId="0" borderId="21" xfId="0" applyFont="true" applyBorder="true" applyAlignment="true" applyProtection="false">
      <alignment horizontal="center" vertical="bottom" textRotation="0" wrapText="false" indent="0" shrinkToFit="false"/>
      <protection locked="true" hidden="false"/>
    </xf>
    <xf numFmtId="176" fontId="48" fillId="0" borderId="0" xfId="0" applyFont="true" applyBorder="true" applyAlignment="false" applyProtection="false">
      <alignment horizontal="general" vertical="bottom" textRotation="0" wrapText="false" indent="0" shrinkToFit="false"/>
      <protection locked="true" hidden="false"/>
    </xf>
    <xf numFmtId="183" fontId="9" fillId="0" borderId="0" xfId="0" applyFont="true" applyBorder="false" applyAlignment="false" applyProtection="false">
      <alignment horizontal="general" vertical="bottom" textRotation="0" wrapText="false" indent="0" shrinkToFit="false"/>
      <protection locked="true" hidden="false"/>
    </xf>
    <xf numFmtId="183" fontId="31" fillId="0" borderId="21" xfId="0" applyFont="true" applyBorder="true" applyAlignment="true" applyProtection="false">
      <alignment horizontal="right" vertical="bottom" textRotation="0" wrapText="false" indent="0" shrinkToFit="false"/>
      <protection locked="true" hidden="false"/>
    </xf>
    <xf numFmtId="176" fontId="31" fillId="0" borderId="27" xfId="0" applyFont="true" applyBorder="true" applyAlignment="true" applyProtection="false">
      <alignment horizontal="left" vertical="bottom" textRotation="0" wrapText="true" indent="4" shrinkToFit="false"/>
      <protection locked="true" hidden="false"/>
    </xf>
    <xf numFmtId="176" fontId="31" fillId="0" borderId="15" xfId="0" applyFont="true" applyBorder="true" applyAlignment="true" applyProtection="false">
      <alignment horizontal="left" vertical="bottom" textRotation="0" wrapText="true" indent="4" shrinkToFit="false"/>
      <protection locked="true" hidden="false"/>
    </xf>
    <xf numFmtId="176" fontId="31" fillId="0" borderId="24" xfId="0" applyFont="true" applyBorder="true" applyAlignment="true" applyProtection="false">
      <alignment horizontal="left" vertical="bottom" textRotation="0" wrapText="true" indent="4" shrinkToFit="false"/>
      <protection locked="true" hidden="false"/>
    </xf>
    <xf numFmtId="176" fontId="31" fillId="0" borderId="0" xfId="0" applyFont="true" applyBorder="true" applyAlignment="true" applyProtection="false">
      <alignment horizontal="left" vertical="bottom" textRotation="0" wrapText="true" indent="4" shrinkToFit="false"/>
      <protection locked="true" hidden="false"/>
    </xf>
    <xf numFmtId="176" fontId="31" fillId="0" borderId="26" xfId="0" applyFont="true" applyBorder="true" applyAlignment="true" applyProtection="false">
      <alignment horizontal="left" vertical="bottom" textRotation="0" wrapText="true" indent="4" shrinkToFit="false"/>
      <protection locked="true" hidden="false"/>
    </xf>
    <xf numFmtId="177" fontId="31" fillId="0" borderId="21" xfId="0" applyFont="true" applyBorder="true" applyAlignment="false" applyProtection="false">
      <alignment horizontal="general" vertical="bottom" textRotation="0" wrapText="false" indent="0" shrinkToFit="false"/>
      <protection locked="true" hidden="false"/>
    </xf>
    <xf numFmtId="177" fontId="31" fillId="0" borderId="22" xfId="0" applyFont="true" applyBorder="true" applyAlignment="false" applyProtection="false">
      <alignment horizontal="general" vertical="bottom" textRotation="0" wrapText="false" indent="0" shrinkToFit="false"/>
      <protection locked="true" hidden="false"/>
    </xf>
    <xf numFmtId="176" fontId="30" fillId="0" borderId="26" xfId="0" applyFont="true" applyBorder="true" applyAlignment="true" applyProtection="false">
      <alignment horizontal="left" vertical="bottom" textRotation="0" wrapText="false" indent="0" shrinkToFit="false"/>
      <protection locked="true" hidden="false"/>
    </xf>
    <xf numFmtId="177" fontId="31" fillId="0" borderId="23" xfId="0" applyFont="true" applyBorder="true" applyAlignment="false" applyProtection="false">
      <alignment horizontal="general" vertical="bottom" textRotation="0" wrapText="false" indent="0" shrinkToFit="false"/>
      <protection locked="true" hidden="false"/>
    </xf>
    <xf numFmtId="176" fontId="31" fillId="0" borderId="0" xfId="0" applyFont="true" applyBorder="true" applyAlignment="true" applyProtection="false">
      <alignment horizontal="left" vertical="top" textRotation="0" wrapText="false" indent="0" shrinkToFit="false"/>
      <protection locked="true" hidden="false"/>
    </xf>
    <xf numFmtId="176" fontId="31" fillId="0" borderId="0" xfId="0" applyFont="true" applyBorder="true" applyAlignment="true" applyProtection="false">
      <alignment horizontal="left" vertical="bottom" textRotation="0" wrapText="false" indent="2" shrinkToFit="false"/>
      <protection locked="true" hidden="false"/>
    </xf>
    <xf numFmtId="176" fontId="38" fillId="0" borderId="25" xfId="0" applyFont="true" applyBorder="true" applyAlignment="false" applyProtection="false">
      <alignment horizontal="general" vertical="bottom" textRotation="0" wrapText="false" indent="0" shrinkToFit="false"/>
      <protection locked="true" hidden="false"/>
    </xf>
    <xf numFmtId="176" fontId="38" fillId="0" borderId="26" xfId="0" applyFont="true" applyBorder="true" applyAlignment="false" applyProtection="false">
      <alignment horizontal="general" vertical="bottom" textRotation="0" wrapText="false" indent="0" shrinkToFit="false"/>
      <protection locked="true" hidden="false"/>
    </xf>
    <xf numFmtId="176" fontId="30" fillId="0" borderId="23" xfId="0" applyFont="true" applyBorder="true" applyAlignment="false" applyProtection="false">
      <alignment horizontal="general" vertical="bottom" textRotation="0" wrapText="false" indent="0" shrinkToFit="false"/>
      <protection locked="true" hidden="false"/>
    </xf>
    <xf numFmtId="176" fontId="31" fillId="0" borderId="25" xfId="0" applyFont="true" applyBorder="true" applyAlignment="true" applyProtection="false">
      <alignment horizontal="left" vertical="bottom" textRotation="0" wrapText="true" indent="0" shrinkToFit="false"/>
      <protection locked="true" hidden="false"/>
    </xf>
    <xf numFmtId="176" fontId="31" fillId="0" borderId="27" xfId="0" applyFont="true" applyBorder="true" applyAlignment="true" applyProtection="false">
      <alignment horizontal="right" vertical="bottom" textRotation="0" wrapText="false" indent="0" shrinkToFit="false"/>
      <protection locked="true" hidden="false"/>
    </xf>
    <xf numFmtId="176" fontId="31" fillId="0" borderId="25" xfId="0" applyFont="true" applyBorder="true" applyAlignment="true" applyProtection="false">
      <alignment horizontal="left" vertical="top" textRotation="0" wrapText="true" indent="0" shrinkToFit="false"/>
      <protection locked="true" hidden="false"/>
    </xf>
    <xf numFmtId="176" fontId="30" fillId="0" borderId="0" xfId="0" applyFont="true" applyBorder="true" applyAlignment="true" applyProtection="false">
      <alignment horizontal="general" vertical="top" textRotation="0" wrapText="true" indent="0" shrinkToFit="false"/>
      <protection locked="true" hidden="false"/>
    </xf>
    <xf numFmtId="176" fontId="31" fillId="0" borderId="3" xfId="0" applyFont="true" applyBorder="true" applyAlignment="true" applyProtection="false">
      <alignment horizontal="left" vertical="center" textRotation="0" wrapText="true" indent="0" shrinkToFit="false"/>
      <protection locked="true" hidden="false"/>
    </xf>
    <xf numFmtId="176" fontId="31" fillId="0" borderId="3" xfId="0" applyFont="true" applyBorder="true" applyAlignment="true" applyProtection="false">
      <alignment horizontal="general" vertical="center" textRotation="0" wrapText="true" indent="0" shrinkToFit="false"/>
      <protection locked="true" hidden="false"/>
    </xf>
    <xf numFmtId="176" fontId="31" fillId="0" borderId="0" xfId="0" applyFont="true" applyBorder="false" applyAlignment="true" applyProtection="false">
      <alignment horizontal="general" vertical="bottom" textRotation="0" wrapText="true" indent="0" shrinkToFit="false"/>
      <protection locked="true" hidden="false"/>
    </xf>
    <xf numFmtId="176" fontId="31" fillId="0" borderId="15" xfId="0" applyFont="true" applyBorder="true" applyAlignment="true" applyProtection="false">
      <alignment horizontal="justify" vertical="top" textRotation="0" wrapText="true" indent="0" shrinkToFit="false"/>
      <protection locked="true" hidden="false"/>
    </xf>
    <xf numFmtId="176" fontId="38" fillId="0" borderId="0" xfId="0" applyFont="true" applyBorder="true" applyAlignment="true" applyProtection="false">
      <alignment horizontal="left" vertical="top" textRotation="0" wrapText="true" indent="0" shrinkToFit="false"/>
      <protection locked="true" hidden="false"/>
    </xf>
    <xf numFmtId="176" fontId="38" fillId="0" borderId="3" xfId="0" applyFont="true" applyBorder="true" applyAlignment="true" applyProtection="false">
      <alignment horizontal="center" vertical="bottom" textRotation="0" wrapText="false" indent="0" shrinkToFit="false"/>
      <protection locked="true" hidden="false"/>
    </xf>
    <xf numFmtId="176" fontId="45" fillId="0" borderId="22" xfId="0" applyFont="true" applyBorder="true" applyAlignment="false" applyProtection="false">
      <alignment horizontal="general" vertical="bottom" textRotation="0" wrapText="false" indent="0" shrinkToFit="false"/>
      <protection locked="true" hidden="false"/>
    </xf>
    <xf numFmtId="176" fontId="45" fillId="0" borderId="22" xfId="0" applyFont="true" applyBorder="true" applyAlignment="true" applyProtection="false">
      <alignment horizontal="general" vertical="bottom" textRotation="0" wrapText="true" indent="0" shrinkToFit="false"/>
      <protection locked="true" hidden="false"/>
    </xf>
    <xf numFmtId="176" fontId="45" fillId="0" borderId="0" xfId="0" applyFont="true" applyBorder="true" applyAlignment="true" applyProtection="false">
      <alignment horizontal="general" vertical="bottom" textRotation="0" wrapText="true" indent="0" shrinkToFit="false"/>
      <protection locked="true" hidden="false"/>
    </xf>
    <xf numFmtId="176" fontId="31" fillId="0" borderId="19" xfId="0" applyFont="true" applyBorder="true" applyAlignment="true" applyProtection="false">
      <alignment horizontal="left" vertical="bottom" textRotation="0" wrapText="true" indent="0" shrinkToFit="false"/>
      <protection locked="true" hidden="false"/>
    </xf>
    <xf numFmtId="177" fontId="31" fillId="0" borderId="26" xfId="0" applyFont="true" applyBorder="true" applyAlignment="false" applyProtection="false">
      <alignment horizontal="general" vertical="bottom" textRotation="0" wrapText="false" indent="0" shrinkToFit="false"/>
      <protection locked="true" hidden="false"/>
    </xf>
    <xf numFmtId="176" fontId="31" fillId="0" borderId="27" xfId="0" applyFont="true" applyBorder="true" applyAlignment="true" applyProtection="false">
      <alignment horizontal="general" vertical="bottom" textRotation="0" wrapText="true" indent="0" shrinkToFit="false"/>
      <protection locked="true" hidden="false"/>
    </xf>
    <xf numFmtId="164" fontId="31" fillId="0" borderId="20" xfId="0" applyFont="true" applyBorder="true" applyAlignment="false" applyProtection="false">
      <alignment horizontal="general" vertical="bottom" textRotation="0" wrapText="false" indent="0" shrinkToFit="false"/>
      <protection locked="true" hidden="false"/>
    </xf>
    <xf numFmtId="176" fontId="31" fillId="0" borderId="0" xfId="0" applyFont="true" applyBorder="true" applyAlignment="true" applyProtection="false">
      <alignment horizontal="justify" vertical="bottom" textRotation="0" wrapText="true" indent="0" shrinkToFit="false"/>
      <protection locked="true" hidden="false"/>
    </xf>
    <xf numFmtId="176" fontId="31" fillId="0" borderId="0" xfId="0" applyFont="true" applyBorder="true" applyAlignment="true" applyProtection="false">
      <alignment horizontal="left" vertical="bottom" textRotation="0" wrapText="true" indent="2" shrinkToFit="false"/>
      <protection locked="true" hidden="false"/>
    </xf>
    <xf numFmtId="184" fontId="31" fillId="0" borderId="21" xfId="0" applyFont="true" applyBorder="true" applyAlignment="false" applyProtection="false">
      <alignment horizontal="general" vertical="bottom" textRotation="0" wrapText="false" indent="0" shrinkToFit="false"/>
      <protection locked="true" hidden="false"/>
    </xf>
    <xf numFmtId="176" fontId="31" fillId="0" borderId="14" xfId="0" applyFont="true" applyBorder="true" applyAlignment="true" applyProtection="false">
      <alignment horizontal="center" vertical="bottom" textRotation="0" wrapText="true" indent="0" shrinkToFit="false"/>
      <protection locked="true" hidden="false"/>
    </xf>
    <xf numFmtId="176" fontId="31" fillId="0" borderId="25" xfId="0" applyFont="true" applyBorder="true" applyAlignment="true" applyProtection="false">
      <alignment horizontal="left" vertical="bottom" textRotation="0" wrapText="true" indent="2" shrinkToFit="false"/>
      <protection locked="true" hidden="false"/>
    </xf>
    <xf numFmtId="176" fontId="31" fillId="0" borderId="26" xfId="0" applyFont="true" applyBorder="true" applyAlignment="true" applyProtection="false">
      <alignment horizontal="left" vertical="bottom" textRotation="0" wrapText="true" indent="2" shrinkToFit="false"/>
      <protection locked="true" hidden="false"/>
    </xf>
    <xf numFmtId="176" fontId="31" fillId="0" borderId="25" xfId="0" applyFont="true" applyBorder="true" applyAlignment="true" applyProtection="false">
      <alignment horizontal="center" vertical="bottom" textRotation="0" wrapText="false" indent="0" shrinkToFit="false"/>
      <protection locked="true" hidden="false"/>
    </xf>
    <xf numFmtId="176" fontId="31" fillId="0" borderId="21" xfId="0" applyFont="true" applyBorder="true" applyAlignment="true" applyProtection="false">
      <alignment horizontal="general" vertical="bottom" textRotation="0" wrapText="true" indent="0" shrinkToFit="false"/>
      <protection locked="true" hidden="false"/>
    </xf>
    <xf numFmtId="176" fontId="31" fillId="0" borderId="22" xfId="0" applyFont="true" applyBorder="true" applyAlignment="true" applyProtection="false">
      <alignment horizontal="general" vertical="bottom" textRotation="0" wrapText="true" indent="0" shrinkToFit="false"/>
      <protection locked="true" hidden="false"/>
    </xf>
    <xf numFmtId="176" fontId="31" fillId="0" borderId="23" xfId="0" applyFont="true" applyBorder="true" applyAlignment="true" applyProtection="false">
      <alignment horizontal="general" vertical="bottom" textRotation="0" wrapText="true" indent="0" shrinkToFit="false"/>
      <protection locked="true" hidden="false"/>
    </xf>
    <xf numFmtId="178" fontId="36" fillId="0" borderId="0" xfId="121" applyFont="true" applyBorder="true" applyAlignment="true" applyProtection="false">
      <alignment horizontal="center" vertical="top" textRotation="0" wrapText="false" indent="0" shrinkToFit="false"/>
      <protection locked="true" hidden="false"/>
    </xf>
    <xf numFmtId="178" fontId="46" fillId="0" borderId="0" xfId="121" applyFont="true" applyBorder="true" applyAlignment="true" applyProtection="false">
      <alignment horizontal="general" vertical="bottom" textRotation="0" wrapText="true" indent="0" shrinkToFit="false"/>
      <protection locked="true" hidden="false"/>
    </xf>
    <xf numFmtId="178" fontId="36" fillId="0" borderId="0" xfId="121" applyFont="true" applyBorder="true" applyAlignment="true" applyProtection="false">
      <alignment horizontal="right" vertical="top" textRotation="0" wrapText="false" indent="0" shrinkToFit="false"/>
      <protection locked="true" hidden="false"/>
    </xf>
    <xf numFmtId="178" fontId="48" fillId="0" borderId="0" xfId="121" applyFont="true" applyBorder="true" applyAlignment="true" applyProtection="false">
      <alignment horizontal="left" vertical="bottom" textRotation="0" wrapText="false" indent="0" shrinkToFit="false"/>
      <protection locked="true" hidden="false"/>
    </xf>
    <xf numFmtId="178" fontId="48" fillId="0" borderId="26" xfId="121" applyFont="true" applyBorder="true" applyAlignment="true" applyProtection="false">
      <alignment horizontal="left" vertical="bottom" textRotation="0" wrapText="false" indent="0" shrinkToFit="false"/>
      <protection locked="true" hidden="false"/>
    </xf>
    <xf numFmtId="178" fontId="31" fillId="0" borderId="20" xfId="121" applyFont="true" applyBorder="true" applyAlignment="true" applyProtection="false">
      <alignment horizontal="left" vertical="bottom" textRotation="0" wrapText="true" indent="0" shrinkToFit="false"/>
      <protection locked="true" hidden="false"/>
    </xf>
    <xf numFmtId="178" fontId="31" fillId="0" borderId="14" xfId="121" applyFont="true" applyBorder="true" applyAlignment="true" applyProtection="false">
      <alignment horizontal="justify" vertical="bottom" textRotation="0" wrapText="true" indent="0" shrinkToFit="false"/>
      <protection locked="true" hidden="false"/>
    </xf>
    <xf numFmtId="178" fontId="49" fillId="0" borderId="24" xfId="121" applyFont="true" applyBorder="true" applyAlignment="true" applyProtection="false">
      <alignment horizontal="justify" vertical="bottom" textRotation="0" wrapText="true" indent="0" shrinkToFit="false"/>
      <protection locked="true" hidden="false"/>
    </xf>
    <xf numFmtId="178" fontId="49" fillId="0" borderId="25" xfId="121" applyFont="true" applyBorder="true" applyAlignment="true" applyProtection="false">
      <alignment horizontal="justify" vertical="bottom" textRotation="0" wrapText="true" indent="0" shrinkToFit="false"/>
      <protection locked="true" hidden="false"/>
    </xf>
    <xf numFmtId="178" fontId="49" fillId="0" borderId="26" xfId="121" applyFont="true" applyBorder="true" applyAlignment="true" applyProtection="false">
      <alignment horizontal="justify" vertical="bottom" textRotation="0" wrapText="true" indent="0" shrinkToFit="false"/>
      <protection locked="true" hidden="false"/>
    </xf>
    <xf numFmtId="178" fontId="49" fillId="0" borderId="27" xfId="121" applyFont="true" applyBorder="true" applyAlignment="true" applyProtection="false">
      <alignment horizontal="justify" vertical="bottom" textRotation="0" wrapText="true" indent="0" shrinkToFit="false"/>
      <protection locked="true" hidden="false"/>
    </xf>
    <xf numFmtId="178" fontId="38" fillId="0" borderId="20" xfId="121" applyFont="true" applyBorder="true" applyAlignment="true" applyProtection="false">
      <alignment horizontal="left" vertical="bottom" textRotation="0" wrapText="true" indent="0" shrinkToFit="false"/>
      <protection locked="true" hidden="false"/>
    </xf>
    <xf numFmtId="178" fontId="31" fillId="0" borderId="19" xfId="121" applyFont="true" applyBorder="true" applyAlignment="false" applyProtection="false">
      <alignment horizontal="general" vertical="bottom" textRotation="0" wrapText="false" indent="0" shrinkToFit="false"/>
      <protection locked="true" hidden="false"/>
    </xf>
    <xf numFmtId="178" fontId="38" fillId="0" borderId="19" xfId="121" applyFont="true" applyBorder="true" applyAlignment="true" applyProtection="false">
      <alignment horizontal="left" vertical="bottom" textRotation="0" wrapText="true" indent="0" shrinkToFit="false"/>
      <protection locked="true" hidden="false"/>
    </xf>
    <xf numFmtId="178" fontId="38" fillId="0" borderId="0" xfId="121" applyFont="true" applyBorder="true" applyAlignment="true" applyProtection="false">
      <alignment horizontal="left" vertical="bottom" textRotation="0" wrapText="true" indent="0" shrinkToFit="false"/>
      <protection locked="true" hidden="false"/>
    </xf>
    <xf numFmtId="178" fontId="38" fillId="0" borderId="22" xfId="121" applyFont="true" applyBorder="true" applyAlignment="true" applyProtection="false">
      <alignment horizontal="left" vertical="bottom" textRotation="0" wrapText="true" indent="0" shrinkToFit="false"/>
      <protection locked="true" hidden="false"/>
    </xf>
    <xf numFmtId="178" fontId="49" fillId="0" borderId="22" xfId="121" applyFont="true" applyBorder="true" applyAlignment="true" applyProtection="false">
      <alignment horizontal="justify" vertical="bottom" textRotation="0" wrapText="true" indent="0" shrinkToFit="false"/>
      <protection locked="true" hidden="false"/>
    </xf>
    <xf numFmtId="178" fontId="49" fillId="0" borderId="25" xfId="121" applyFont="true" applyBorder="true" applyAlignment="false" applyProtection="false">
      <alignment horizontal="general" vertical="bottom" textRotation="0" wrapText="false" indent="0" shrinkToFit="false"/>
      <protection locked="true" hidden="false"/>
    </xf>
    <xf numFmtId="178" fontId="50" fillId="0" borderId="14" xfId="121" applyFont="true" applyBorder="true" applyAlignment="false" applyProtection="false">
      <alignment horizontal="general" vertical="bottom" textRotation="0" wrapText="false" indent="0" shrinkToFit="false"/>
      <protection locked="true" hidden="false"/>
    </xf>
    <xf numFmtId="178" fontId="49" fillId="0" borderId="19" xfId="121" applyFont="true" applyBorder="true" applyAlignment="true" applyProtection="false">
      <alignment horizontal="justify" vertical="bottom" textRotation="0" wrapText="true" indent="0" shrinkToFit="false"/>
      <protection locked="true" hidden="false"/>
    </xf>
    <xf numFmtId="178" fontId="49" fillId="0" borderId="0" xfId="121" applyFont="true" applyBorder="true" applyAlignment="true" applyProtection="false">
      <alignment horizontal="justify" vertical="bottom" textRotation="0" wrapText="true" indent="0" shrinkToFit="false"/>
      <protection locked="true" hidden="false"/>
    </xf>
    <xf numFmtId="178" fontId="50" fillId="0" borderId="19" xfId="121" applyFont="true" applyBorder="true" applyAlignment="false" applyProtection="false">
      <alignment horizontal="general" vertical="bottom" textRotation="0" wrapText="false" indent="0" shrinkToFit="false"/>
      <protection locked="true" hidden="false"/>
    </xf>
    <xf numFmtId="178" fontId="38" fillId="0" borderId="21" xfId="121" applyFont="true" applyBorder="true" applyAlignment="true" applyProtection="false">
      <alignment horizontal="left" vertical="bottom" textRotation="0" wrapText="true" indent="0" shrinkToFit="false"/>
      <protection locked="true" hidden="false"/>
    </xf>
    <xf numFmtId="178" fontId="31" fillId="0" borderId="22" xfId="121" applyFont="true" applyBorder="true" applyAlignment="true" applyProtection="false">
      <alignment horizontal="justify" vertical="bottom" textRotation="0" wrapText="true" indent="0" shrinkToFit="false"/>
      <protection locked="true" hidden="false"/>
    </xf>
    <xf numFmtId="178" fontId="31" fillId="0" borderId="19" xfId="121" applyFont="true" applyBorder="true" applyAlignment="true" applyProtection="false">
      <alignment horizontal="justify" vertical="bottom" textRotation="0" wrapText="true" indent="0" shrinkToFit="false"/>
      <protection locked="true" hidden="false"/>
    </xf>
    <xf numFmtId="178" fontId="31" fillId="0" borderId="0" xfId="121" applyFont="true" applyBorder="true" applyAlignment="true" applyProtection="false">
      <alignment horizontal="justify" vertical="bottom" textRotation="0" wrapText="true" indent="0" shrinkToFit="false"/>
      <protection locked="true" hidden="false"/>
    </xf>
    <xf numFmtId="178" fontId="31" fillId="0" borderId="25" xfId="121" applyFont="true" applyBorder="true" applyAlignment="false" applyProtection="false">
      <alignment horizontal="general" vertical="bottom" textRotation="0" wrapText="false" indent="0" shrinkToFit="false"/>
      <protection locked="true" hidden="false"/>
    </xf>
    <xf numFmtId="176" fontId="31" fillId="0" borderId="31" xfId="0" applyFont="true" applyBorder="true" applyAlignment="false" applyProtection="false">
      <alignment horizontal="general" vertical="bottom" textRotation="0" wrapText="false" indent="0" shrinkToFit="false"/>
      <protection locked="true" hidden="false"/>
    </xf>
    <xf numFmtId="178" fontId="49" fillId="0" borderId="0" xfId="121" applyFont="true" applyBorder="true" applyAlignment="true" applyProtection="false">
      <alignment horizontal="right" vertical="top" textRotation="0" wrapText="false" indent="0" shrinkToFit="false"/>
      <protection locked="true" hidden="false"/>
    </xf>
    <xf numFmtId="178" fontId="46" fillId="0" borderId="3" xfId="121" applyFont="true" applyBorder="true" applyAlignment="true" applyProtection="false">
      <alignment horizontal="center" vertical="center" textRotation="0" wrapText="false" indent="0" shrinkToFit="false"/>
      <protection locked="true" hidden="false"/>
    </xf>
    <xf numFmtId="178" fontId="36" fillId="0" borderId="32" xfId="121" applyFont="true" applyBorder="true" applyAlignment="true" applyProtection="false">
      <alignment horizontal="general" vertical="top" textRotation="0" wrapText="true" indent="0" shrinkToFit="false"/>
      <protection locked="true" hidden="false"/>
    </xf>
    <xf numFmtId="178" fontId="36" fillId="0" borderId="33" xfId="121" applyFont="true" applyBorder="true" applyAlignment="true" applyProtection="false">
      <alignment horizontal="general" vertical="top" textRotation="0" wrapText="true" indent="0" shrinkToFit="false"/>
      <protection locked="true" hidden="false"/>
    </xf>
    <xf numFmtId="178" fontId="49" fillId="0" borderId="34" xfId="121" applyFont="true" applyBorder="true" applyAlignment="false" applyProtection="false">
      <alignment horizontal="general" vertical="bottom" textRotation="0" wrapText="false" indent="0" shrinkToFit="false"/>
      <protection locked="true" hidden="false"/>
    </xf>
    <xf numFmtId="178" fontId="49" fillId="0" borderId="0" xfId="121" applyFont="true" applyBorder="true" applyAlignment="false" applyProtection="false">
      <alignment horizontal="general" vertical="bottom" textRotation="0" wrapText="false" indent="0" shrinkToFit="false"/>
      <protection locked="true" hidden="false"/>
    </xf>
    <xf numFmtId="178" fontId="49" fillId="0" borderId="14" xfId="121" applyFont="true" applyBorder="true" applyAlignment="false" applyProtection="false">
      <alignment horizontal="general" vertical="bottom" textRotation="0" wrapText="false" indent="0" shrinkToFit="false"/>
      <protection locked="true" hidden="false"/>
    </xf>
    <xf numFmtId="178" fontId="49" fillId="0" borderId="20" xfId="121" applyFont="true" applyBorder="true" applyAlignment="false" applyProtection="false">
      <alignment horizontal="general" vertical="bottom" textRotation="0" wrapText="false" indent="0" shrinkToFit="false"/>
      <protection locked="true" hidden="false"/>
    </xf>
    <xf numFmtId="178" fontId="36" fillId="0" borderId="34" xfId="121" applyFont="true" applyBorder="true" applyAlignment="false" applyProtection="false">
      <alignment horizontal="general" vertical="bottom" textRotation="0" wrapText="false" indent="0" shrinkToFit="false"/>
      <protection locked="true" hidden="false"/>
    </xf>
    <xf numFmtId="178" fontId="36" fillId="0" borderId="0" xfId="121" applyFont="true" applyBorder="true" applyAlignment="false" applyProtection="false">
      <alignment horizontal="general" vertical="bottom" textRotation="0" wrapText="false" indent="0" shrinkToFit="false"/>
      <protection locked="true" hidden="false"/>
    </xf>
    <xf numFmtId="178" fontId="31" fillId="0" borderId="21" xfId="121" applyFont="true" applyBorder="true" applyAlignment="false" applyProtection="false">
      <alignment horizontal="general" vertical="bottom" textRotation="0" wrapText="false" indent="0" shrinkToFit="false"/>
      <protection locked="true" hidden="false"/>
    </xf>
    <xf numFmtId="178" fontId="51" fillId="0" borderId="21" xfId="121" applyFont="true" applyBorder="true" applyAlignment="false" applyProtection="false">
      <alignment horizontal="general" vertical="bottom" textRotation="0" wrapText="false" indent="0" shrinkToFit="false"/>
      <protection locked="true" hidden="false"/>
    </xf>
    <xf numFmtId="185" fontId="31" fillId="0" borderId="19" xfId="15" applyFont="true" applyBorder="true" applyAlignment="true" applyProtection="true">
      <alignment horizontal="general" vertical="bottom" textRotation="0" wrapText="false" indent="0" shrinkToFit="false"/>
      <protection locked="true" hidden="false"/>
    </xf>
    <xf numFmtId="178" fontId="31" fillId="0" borderId="0" xfId="121" applyFont="true" applyBorder="true" applyAlignment="false" applyProtection="false">
      <alignment horizontal="general" vertical="bottom" textRotation="0" wrapText="false" indent="0" shrinkToFit="false"/>
      <protection locked="true" hidden="false"/>
    </xf>
    <xf numFmtId="176" fontId="51" fillId="0" borderId="19" xfId="121" applyFont="true" applyBorder="true" applyAlignment="false" applyProtection="false">
      <alignment horizontal="general" vertical="bottom" textRotation="0" wrapText="false" indent="0" shrinkToFit="false"/>
      <protection locked="true" hidden="false"/>
    </xf>
    <xf numFmtId="178" fontId="49" fillId="0" borderId="19" xfId="121" applyFont="true" applyBorder="true" applyAlignment="false" applyProtection="false">
      <alignment horizontal="general" vertical="bottom" textRotation="0" wrapText="false" indent="0" shrinkToFit="false"/>
      <protection locked="true" hidden="false"/>
    </xf>
    <xf numFmtId="178" fontId="50" fillId="0" borderId="21" xfId="121" applyFont="true" applyBorder="true" applyAlignment="false" applyProtection="false">
      <alignment horizontal="general" vertical="bottom" textRotation="0" wrapText="false" indent="0" shrinkToFit="false"/>
      <protection locked="true" hidden="false"/>
    </xf>
    <xf numFmtId="178" fontId="38" fillId="0" borderId="34" xfId="121" applyFont="true" applyBorder="true" applyAlignment="false" applyProtection="false">
      <alignment horizontal="general" vertical="bottom" textRotation="0" wrapText="false" indent="0" shrinkToFit="false"/>
      <protection locked="true" hidden="false"/>
    </xf>
    <xf numFmtId="178" fontId="38" fillId="0" borderId="0" xfId="121" applyFont="true" applyBorder="true" applyAlignment="false" applyProtection="false">
      <alignment horizontal="general" vertical="bottom" textRotation="0" wrapText="false" indent="0" shrinkToFit="false"/>
      <protection locked="true" hidden="false"/>
    </xf>
    <xf numFmtId="178" fontId="31" fillId="0" borderId="34" xfId="121" applyFont="true" applyBorder="true" applyAlignment="false" applyProtection="false">
      <alignment horizontal="general" vertical="bottom" textRotation="0" wrapText="false" indent="0" shrinkToFit="false"/>
      <protection locked="true" hidden="false"/>
    </xf>
    <xf numFmtId="164" fontId="31" fillId="0" borderId="19" xfId="121" applyFont="true" applyBorder="true" applyAlignment="false" applyProtection="false">
      <alignment horizontal="general" vertical="bottom" textRotation="0" wrapText="false" indent="0" shrinkToFit="false"/>
      <protection locked="true" hidden="false"/>
    </xf>
    <xf numFmtId="164" fontId="31" fillId="0" borderId="21" xfId="121" applyFont="true" applyBorder="true" applyAlignment="false" applyProtection="false">
      <alignment horizontal="general" vertical="bottom" textRotation="0" wrapText="false" indent="0" shrinkToFit="false"/>
      <protection locked="true" hidden="false"/>
    </xf>
    <xf numFmtId="176" fontId="31" fillId="0" borderId="19" xfId="121" applyFont="true" applyBorder="true" applyAlignment="false" applyProtection="false">
      <alignment horizontal="general" vertical="bottom" textRotation="0" wrapText="false" indent="0" shrinkToFit="false"/>
      <protection locked="true" hidden="false"/>
    </xf>
    <xf numFmtId="176" fontId="31" fillId="0" borderId="21" xfId="121" applyFont="true" applyBorder="true" applyAlignment="false" applyProtection="false">
      <alignment horizontal="general" vertical="bottom" textRotation="0" wrapText="false" indent="0" shrinkToFit="false"/>
      <protection locked="true" hidden="false"/>
    </xf>
    <xf numFmtId="164" fontId="38" fillId="0" borderId="0" xfId="121" applyFont="true" applyBorder="true" applyAlignment="false" applyProtection="false">
      <alignment horizontal="general" vertical="bottom" textRotation="0" wrapText="false" indent="0" shrinkToFit="false"/>
      <protection locked="true" hidden="false"/>
    </xf>
    <xf numFmtId="178" fontId="50" fillId="0" borderId="0" xfId="121" applyFont="true" applyBorder="true" applyAlignment="true" applyProtection="false">
      <alignment horizontal="right" vertical="top" textRotation="0" wrapText="false" indent="0" shrinkToFit="false"/>
      <protection locked="true" hidden="false"/>
    </xf>
    <xf numFmtId="164" fontId="50" fillId="0" borderId="35" xfId="121" applyFont="true" applyBorder="true" applyAlignment="false" applyProtection="false">
      <alignment horizontal="general" vertical="bottom" textRotation="0" wrapText="false" indent="0" shrinkToFit="false"/>
      <protection locked="true" hidden="false"/>
    </xf>
    <xf numFmtId="164" fontId="50" fillId="0" borderId="31" xfId="121" applyFont="true" applyBorder="true" applyAlignment="false" applyProtection="false">
      <alignment horizontal="general" vertical="bottom" textRotation="0" wrapText="false" indent="0" shrinkToFit="false"/>
      <protection locked="true" hidden="false"/>
    </xf>
    <xf numFmtId="178" fontId="50" fillId="0" borderId="31" xfId="121" applyFont="true" applyBorder="true" applyAlignment="false" applyProtection="false">
      <alignment horizontal="general" vertical="bottom" textRotation="0" wrapText="false" indent="0" shrinkToFit="false"/>
      <protection locked="true" hidden="false"/>
    </xf>
    <xf numFmtId="164" fontId="50" fillId="0" borderId="25" xfId="121" applyFont="true" applyBorder="true" applyAlignment="false" applyProtection="false">
      <alignment horizontal="general" vertical="bottom" textRotation="0" wrapText="false" indent="0" shrinkToFit="false"/>
      <protection locked="true" hidden="false"/>
    </xf>
    <xf numFmtId="164" fontId="50" fillId="0" borderId="23" xfId="121" applyFont="true" applyBorder="true" applyAlignment="false" applyProtection="false">
      <alignment horizontal="general" vertical="bottom" textRotation="0" wrapText="false" indent="0" shrinkToFit="false"/>
      <protection locked="true" hidden="false"/>
    </xf>
    <xf numFmtId="164" fontId="50" fillId="0" borderId="0" xfId="121" applyFont="true" applyBorder="true" applyAlignment="false" applyProtection="false">
      <alignment horizontal="general" vertical="bottom" textRotation="0" wrapText="false" indent="0" shrinkToFit="false"/>
      <protection locked="true" hidden="false"/>
    </xf>
    <xf numFmtId="178" fontId="50" fillId="0" borderId="0" xfId="121" applyFont="true" applyBorder="true" applyAlignment="false" applyProtection="false">
      <alignment horizontal="general" vertical="bottom" textRotation="0" wrapText="false" indent="0" shrinkToFit="false"/>
      <protection locked="true" hidden="false"/>
    </xf>
    <xf numFmtId="164" fontId="50" fillId="0" borderId="3" xfId="121" applyFont="true" applyBorder="true" applyAlignment="false" applyProtection="false">
      <alignment horizontal="general" vertical="bottom" textRotation="0" wrapText="false" indent="0" shrinkToFit="false"/>
      <protection locked="true" hidden="false"/>
    </xf>
    <xf numFmtId="176" fontId="49" fillId="0" borderId="0" xfId="0" applyFont="true" applyBorder="true" applyAlignment="true" applyProtection="false">
      <alignment horizontal="left" vertical="bottom" textRotation="0" wrapText="true" indent="0" shrinkToFit="false"/>
      <protection locked="true" hidden="false"/>
    </xf>
    <xf numFmtId="176" fontId="30" fillId="0" borderId="26" xfId="0" applyFont="true" applyBorder="true" applyAlignment="true" applyProtection="false">
      <alignment horizontal="general" vertical="top" textRotation="0" wrapText="false" indent="0" shrinkToFit="false"/>
      <protection locked="true" hidden="false"/>
    </xf>
    <xf numFmtId="176" fontId="31" fillId="0" borderId="26" xfId="0" applyFont="true" applyBorder="true" applyAlignment="true" applyProtection="false">
      <alignment horizontal="general" vertical="bottom" textRotation="0" wrapText="true" indent="0" shrinkToFit="false"/>
      <protection locked="true" hidden="false"/>
    </xf>
    <xf numFmtId="176" fontId="30" fillId="0" borderId="15" xfId="0" applyFont="true" applyBorder="true" applyAlignment="true" applyProtection="false">
      <alignment horizontal="general" vertical="top" textRotation="0" wrapText="false" indent="0" shrinkToFit="false"/>
      <protection locked="true" hidden="false"/>
    </xf>
    <xf numFmtId="176" fontId="52" fillId="0" borderId="0" xfId="0" applyFont="true" applyBorder="true" applyAlignment="true" applyProtection="false">
      <alignment horizontal="left" vertical="bottom" textRotation="0" wrapText="false" indent="0" shrinkToFit="false"/>
      <protection locked="true" hidden="false"/>
    </xf>
    <xf numFmtId="176" fontId="52" fillId="0" borderId="22" xfId="0" applyFont="true" applyBorder="true" applyAlignment="true" applyProtection="false">
      <alignment horizontal="left" vertical="bottom" textRotation="0" wrapText="false" indent="0" shrinkToFit="false"/>
      <protection locked="true" hidden="false"/>
    </xf>
    <xf numFmtId="176" fontId="52" fillId="0" borderId="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left" vertical="bottom" textRotation="0" wrapText="false" indent="0" shrinkToFit="false"/>
      <protection locked="true" hidden="false"/>
    </xf>
    <xf numFmtId="176" fontId="52" fillId="0" borderId="26" xfId="0" applyFont="true" applyBorder="true" applyAlignment="true" applyProtection="false">
      <alignment horizontal="left" vertical="bottom" textRotation="0" wrapText="false" indent="0" shrinkToFit="false"/>
      <protection locked="true" hidden="false"/>
    </xf>
    <xf numFmtId="176" fontId="52" fillId="0" borderId="27"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53" fillId="27" borderId="0" xfId="0" applyFont="true" applyBorder="false" applyAlignment="false" applyProtection="false">
      <alignment horizontal="general" vertical="bottom" textRotation="0" wrapText="false" indent="0" shrinkToFit="false"/>
      <protection locked="true" hidden="false"/>
    </xf>
    <xf numFmtId="186" fontId="53" fillId="0" borderId="0" xfId="0" applyFont="true" applyBorder="false" applyAlignment="false" applyProtection="false">
      <alignment horizontal="general" vertical="bottom" textRotation="0" wrapText="false" indent="0" shrinkToFit="false"/>
      <protection locked="true" hidden="false"/>
    </xf>
    <xf numFmtId="176" fontId="53" fillId="0" borderId="0" xfId="0" applyFont="true" applyBorder="false" applyAlignment="false" applyProtection="false">
      <alignment horizontal="general" vertical="bottom" textRotation="0" wrapText="false" indent="0" shrinkToFit="false"/>
      <protection locked="true" hidden="false"/>
    </xf>
    <xf numFmtId="176" fontId="53" fillId="27"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76" fontId="54" fillId="0" borderId="14" xfId="0" applyFont="true" applyBorder="true" applyAlignment="false" applyProtection="false">
      <alignment horizontal="general" vertical="bottom" textRotation="0" wrapText="false" indent="0" shrinkToFit="false"/>
      <protection locked="true" hidden="false"/>
    </xf>
    <xf numFmtId="176" fontId="55" fillId="0" borderId="15" xfId="0" applyFont="true" applyBorder="true" applyAlignment="false" applyProtection="false">
      <alignment horizontal="general" vertical="bottom" textRotation="0" wrapText="false" indent="0" shrinkToFit="false"/>
      <protection locked="true" hidden="false"/>
    </xf>
    <xf numFmtId="176" fontId="55" fillId="0" borderId="19" xfId="0" applyFont="true" applyBorder="true" applyAlignment="false" applyProtection="false">
      <alignment horizontal="general" vertical="bottom" textRotation="0" wrapText="false" indent="0" shrinkToFit="false"/>
      <protection locked="true" hidden="false"/>
    </xf>
    <xf numFmtId="176" fontId="55" fillId="0" borderId="0" xfId="0" applyFont="true" applyBorder="true" applyAlignment="false" applyProtection="false">
      <alignment horizontal="general" vertical="bottom" textRotation="0" wrapText="false" indent="0" shrinkToFit="false"/>
      <protection locked="true" hidden="false"/>
    </xf>
    <xf numFmtId="176" fontId="54" fillId="0" borderId="16" xfId="0" applyFont="true" applyBorder="true" applyAlignment="true" applyProtection="false">
      <alignment horizontal="left" vertical="bottom" textRotation="0" wrapText="false" indent="0" shrinkToFit="false"/>
      <protection locked="true" hidden="false"/>
    </xf>
    <xf numFmtId="176" fontId="56" fillId="0" borderId="18" xfId="0" applyFont="true" applyBorder="true" applyAlignment="false" applyProtection="false">
      <alignment horizontal="general" vertical="bottom" textRotation="0" wrapText="false" indent="0" shrinkToFit="false"/>
      <protection locked="true" hidden="false"/>
    </xf>
    <xf numFmtId="176" fontId="57" fillId="0" borderId="3" xfId="0" applyFont="true" applyBorder="true" applyAlignment="true" applyProtection="false">
      <alignment horizontal="center" vertical="bottom" textRotation="0" wrapText="false" indent="0" shrinkToFit="false"/>
      <protection locked="true" hidden="false"/>
    </xf>
    <xf numFmtId="176" fontId="57" fillId="0" borderId="18" xfId="0" applyFont="true" applyBorder="true" applyAlignment="true" applyProtection="false">
      <alignment horizontal="center" vertical="bottom" textRotation="0" wrapText="false" indent="0" shrinkToFit="false"/>
      <protection locked="true" hidden="false"/>
    </xf>
    <xf numFmtId="176" fontId="57" fillId="0" borderId="14" xfId="0" applyFont="true" applyBorder="true" applyAlignment="true" applyProtection="false">
      <alignment horizontal="center" vertical="bottom" textRotation="0" wrapText="false" indent="0" shrinkToFit="false"/>
      <protection locked="true" hidden="false"/>
    </xf>
    <xf numFmtId="176" fontId="57" fillId="0" borderId="24" xfId="0" applyFont="true" applyBorder="true" applyAlignment="true" applyProtection="false">
      <alignment horizontal="center" vertical="bottom" textRotation="0" wrapText="false" indent="0" shrinkToFit="false"/>
      <protection locked="true" hidden="false"/>
    </xf>
    <xf numFmtId="176" fontId="54" fillId="0" borderId="20" xfId="0" applyFont="true" applyBorder="true" applyAlignment="true" applyProtection="false">
      <alignment horizontal="center" vertical="bottom" textRotation="0" wrapText="false" indent="0" shrinkToFit="false"/>
      <protection locked="true" hidden="false"/>
    </xf>
    <xf numFmtId="176" fontId="54" fillId="0" borderId="15" xfId="0" applyFont="true" applyBorder="true" applyAlignment="true" applyProtection="false">
      <alignment horizontal="center" vertical="bottom" textRotation="0" wrapText="false" indent="0" shrinkToFit="false"/>
      <protection locked="true" hidden="false"/>
    </xf>
    <xf numFmtId="176" fontId="54" fillId="0" borderId="3" xfId="0" applyFont="true" applyBorder="true" applyAlignment="true" applyProtection="false">
      <alignment horizontal="center" vertical="bottom" textRotation="0" wrapText="true" indent="0" shrinkToFit="false"/>
      <protection locked="true" hidden="false"/>
    </xf>
    <xf numFmtId="176" fontId="57" fillId="0" borderId="25" xfId="0" applyFont="true" applyBorder="true" applyAlignment="true" applyProtection="false">
      <alignment horizontal="center" vertical="bottom" textRotation="0" wrapText="false" indent="0" shrinkToFit="false"/>
      <protection locked="true" hidden="false"/>
    </xf>
    <xf numFmtId="176" fontId="57" fillId="0" borderId="27" xfId="0" applyFont="true" applyBorder="true" applyAlignment="true" applyProtection="false">
      <alignment horizontal="center" vertical="bottom" textRotation="0" wrapText="false" indent="0" shrinkToFit="false"/>
      <protection locked="true" hidden="false"/>
    </xf>
    <xf numFmtId="176" fontId="54" fillId="0" borderId="23" xfId="0" applyFont="true" applyBorder="true" applyAlignment="true" applyProtection="false">
      <alignment horizontal="center" vertical="bottom" textRotation="0" wrapText="false" indent="0" shrinkToFit="false"/>
      <protection locked="true" hidden="false"/>
    </xf>
    <xf numFmtId="176" fontId="54" fillId="0" borderId="26" xfId="0" applyFont="true" applyBorder="true" applyAlignment="true" applyProtection="false">
      <alignment horizontal="center" vertical="bottom" textRotation="0" wrapText="false" indent="0" shrinkToFit="false"/>
      <protection locked="true" hidden="false"/>
    </xf>
    <xf numFmtId="176" fontId="54" fillId="0" borderId="2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6" fontId="57" fillId="0" borderId="19" xfId="0" applyFont="true" applyBorder="true" applyAlignment="true" applyProtection="false">
      <alignment horizontal="center" vertical="bottom" textRotation="0" wrapText="false" indent="0" shrinkToFit="false"/>
      <protection locked="true" hidden="false"/>
    </xf>
    <xf numFmtId="176" fontId="57" fillId="0" borderId="22" xfId="0" applyFont="true" applyBorder="true" applyAlignment="true" applyProtection="false">
      <alignment horizontal="center" vertical="bottom" textRotation="0" wrapText="false" indent="0" shrinkToFit="false"/>
      <protection locked="true" hidden="false"/>
    </xf>
    <xf numFmtId="176" fontId="58" fillId="0" borderId="20" xfId="0" applyFont="true" applyBorder="true" applyAlignment="true" applyProtection="false">
      <alignment horizontal="center" vertical="bottom" textRotation="0" wrapText="false" indent="0" shrinkToFit="false"/>
      <protection locked="true" hidden="false"/>
    </xf>
    <xf numFmtId="176" fontId="57" fillId="0" borderId="20" xfId="0" applyFont="true" applyBorder="true" applyAlignment="true" applyProtection="false">
      <alignment horizontal="center" vertical="bottom" textRotation="0" wrapText="false" indent="0" shrinkToFit="false"/>
      <protection locked="true" hidden="false"/>
    </xf>
    <xf numFmtId="176" fontId="57" fillId="0" borderId="20" xfId="0" applyFont="true" applyBorder="true" applyAlignment="true" applyProtection="false">
      <alignment horizontal="center" vertical="bottom" textRotation="0" wrapText="true" indent="0" shrinkToFit="false"/>
      <protection locked="true" hidden="false"/>
    </xf>
    <xf numFmtId="176" fontId="55" fillId="0" borderId="22" xfId="0" applyFont="true" applyBorder="true" applyAlignment="false" applyProtection="false">
      <alignment horizontal="general" vertical="bottom" textRotation="0" wrapText="false" indent="0" shrinkToFit="false"/>
      <protection locked="true" hidden="false"/>
    </xf>
    <xf numFmtId="176" fontId="9" fillId="0" borderId="21" xfId="0" applyFont="true" applyBorder="true" applyAlignment="true" applyProtection="false">
      <alignment horizontal="right" vertical="top" textRotation="0" wrapText="true" indent="0" shrinkToFit="false"/>
      <protection locked="true" hidden="false"/>
    </xf>
    <xf numFmtId="176" fontId="55" fillId="0" borderId="21" xfId="0" applyFont="true" applyBorder="true" applyAlignment="false" applyProtection="false">
      <alignment horizontal="general" vertical="bottom" textRotation="0" wrapText="false" indent="0" shrinkToFit="false"/>
      <protection locked="true" hidden="false"/>
    </xf>
    <xf numFmtId="176" fontId="0" fillId="0" borderId="21" xfId="0" applyFont="true" applyBorder="true" applyAlignment="false" applyProtection="false">
      <alignment horizontal="general" vertical="bottom" textRotation="0" wrapText="false" indent="0" shrinkToFit="false"/>
      <protection locked="true" hidden="false"/>
    </xf>
    <xf numFmtId="176" fontId="54" fillId="0" borderId="19" xfId="0" applyFont="true" applyBorder="true" applyAlignment="false" applyProtection="false">
      <alignment horizontal="general" vertical="bottom" textRotation="0" wrapText="false" indent="0" shrinkToFit="false"/>
      <protection locked="true" hidden="false"/>
    </xf>
    <xf numFmtId="176" fontId="9" fillId="0" borderId="21" xfId="0" applyFont="true" applyBorder="true" applyAlignment="true" applyProtection="false">
      <alignment horizontal="right" vertical="top" textRotation="0" wrapText="true" indent="0" shrinkToFit="false"/>
      <protection locked="true" hidden="false"/>
    </xf>
    <xf numFmtId="176" fontId="55" fillId="0" borderId="21" xfId="0" applyFont="true" applyBorder="true" applyAlignment="true" applyProtection="false">
      <alignment horizontal="left" vertical="top" textRotation="0" wrapText="true" indent="0" shrinkToFit="false"/>
      <protection locked="true" hidden="false"/>
    </xf>
    <xf numFmtId="176" fontId="55" fillId="0" borderId="25" xfId="0" applyFont="true" applyBorder="true" applyAlignment="false" applyProtection="false">
      <alignment horizontal="general" vertical="bottom" textRotation="0" wrapText="false" indent="0" shrinkToFit="false"/>
      <protection locked="true" hidden="false"/>
    </xf>
    <xf numFmtId="176" fontId="55" fillId="0" borderId="27" xfId="0" applyFont="true" applyBorder="true" applyAlignment="false" applyProtection="false">
      <alignment horizontal="general" vertical="bottom" textRotation="0" wrapText="false" indent="0" shrinkToFit="false"/>
      <protection locked="true" hidden="false"/>
    </xf>
    <xf numFmtId="176" fontId="9" fillId="0" borderId="23" xfId="0" applyFont="true" applyBorder="true" applyAlignment="true" applyProtection="false">
      <alignment horizontal="right" vertical="top" textRotation="0" wrapText="true" indent="0" shrinkToFit="false"/>
      <protection locked="true" hidden="false"/>
    </xf>
    <xf numFmtId="176" fontId="55" fillId="0" borderId="23" xfId="0" applyFont="true" applyBorder="true" applyAlignment="false" applyProtection="false">
      <alignment horizontal="general" vertical="bottom" textRotation="0" wrapText="false" indent="0" shrinkToFit="false"/>
      <protection locked="true" hidden="false"/>
    </xf>
    <xf numFmtId="176" fontId="0" fillId="0" borderId="23" xfId="0" applyFont="true" applyBorder="true" applyAlignment="false" applyProtection="false">
      <alignment horizontal="general" vertical="bottom" textRotation="0" wrapText="false" indent="0" shrinkToFit="false"/>
      <protection locked="true" hidden="false"/>
    </xf>
    <xf numFmtId="176" fontId="54" fillId="0" borderId="24" xfId="0" applyFont="true" applyBorder="true" applyAlignment="false" applyProtection="false">
      <alignment horizontal="general" vertical="bottom" textRotation="0" wrapText="false" indent="0" shrinkToFit="false"/>
      <protection locked="true" hidden="false"/>
    </xf>
    <xf numFmtId="176" fontId="54" fillId="0" borderId="20" xfId="0" applyFont="true" applyBorder="true" applyAlignment="false" applyProtection="false">
      <alignment horizontal="general" vertical="bottom" textRotation="0" wrapText="false" indent="0" shrinkToFit="false"/>
      <protection locked="true" hidden="false"/>
    </xf>
    <xf numFmtId="176" fontId="54" fillId="0" borderId="25" xfId="0" applyFont="true" applyBorder="true" applyAlignment="false" applyProtection="false">
      <alignment horizontal="general" vertical="bottom" textRotation="0" wrapText="false" indent="0" shrinkToFit="false"/>
      <protection locked="true" hidden="false"/>
    </xf>
    <xf numFmtId="176" fontId="54" fillId="0" borderId="27" xfId="0" applyFont="true" applyBorder="true" applyAlignment="false" applyProtection="false">
      <alignment horizontal="general" vertical="bottom" textRotation="0" wrapText="false" indent="0" shrinkToFit="false"/>
      <protection locked="true" hidden="false"/>
    </xf>
    <xf numFmtId="176" fontId="54" fillId="0" borderId="23" xfId="0" applyFont="true" applyBorder="true" applyAlignment="false" applyProtection="false">
      <alignment horizontal="general" vertical="bottom" textRotation="0" wrapText="false" indent="0" shrinkToFit="false"/>
      <protection locked="true" hidden="false"/>
    </xf>
    <xf numFmtId="176" fontId="54" fillId="0" borderId="26" xfId="0" applyFont="true" applyBorder="true" applyAlignment="false" applyProtection="false">
      <alignment horizontal="general" vertical="bottom" textRotation="0" wrapText="false" indent="0" shrinkToFit="false"/>
      <protection locked="true" hidden="false"/>
    </xf>
    <xf numFmtId="176" fontId="55" fillId="0" borderId="20" xfId="0" applyFont="true" applyBorder="true" applyAlignment="false" applyProtection="false">
      <alignment horizontal="general" vertical="bottom" textRotation="0" wrapText="false" indent="0" shrinkToFit="false"/>
      <protection locked="true" hidden="false"/>
    </xf>
    <xf numFmtId="176" fontId="55" fillId="0" borderId="24" xfId="0" applyFont="true" applyBorder="true" applyAlignment="false" applyProtection="false">
      <alignment horizontal="general" vertical="bottom" textRotation="0" wrapText="false" indent="0" shrinkToFit="false"/>
      <protection locked="true" hidden="false"/>
    </xf>
    <xf numFmtId="176" fontId="57" fillId="0" borderId="19" xfId="0" applyFont="true" applyBorder="true" applyAlignment="false" applyProtection="false">
      <alignment horizontal="general" vertical="bottom" textRotation="0" wrapText="false" indent="0" shrinkToFit="false"/>
      <protection locked="true" hidden="false"/>
    </xf>
    <xf numFmtId="176" fontId="54" fillId="0" borderId="0" xfId="0" applyFont="true" applyBorder="true" applyAlignment="false" applyProtection="false">
      <alignment horizontal="general" vertical="bottom" textRotation="0" wrapText="false" indent="0" shrinkToFit="false"/>
      <protection locked="true" hidden="false"/>
    </xf>
    <xf numFmtId="176" fontId="54" fillId="0" borderId="21" xfId="0" applyFont="true" applyBorder="true" applyAlignment="false" applyProtection="false">
      <alignment horizontal="general" vertical="bottom" textRotation="0" wrapText="false" indent="0" shrinkToFit="false"/>
      <protection locked="true" hidden="false"/>
    </xf>
    <xf numFmtId="176" fontId="54" fillId="0" borderId="22" xfId="0" applyFont="true" applyBorder="true" applyAlignment="false" applyProtection="false">
      <alignment horizontal="general" vertical="bottom" textRotation="0" wrapText="false" indent="0" shrinkToFit="false"/>
      <protection locked="true" hidden="false"/>
    </xf>
    <xf numFmtId="176" fontId="54" fillId="0" borderId="15" xfId="0" applyFont="true" applyBorder="true" applyAlignment="false" applyProtection="false">
      <alignment horizontal="general" vertical="bottom" textRotation="0" wrapText="false" indent="0" shrinkToFit="false"/>
      <protection locked="true" hidden="false"/>
    </xf>
    <xf numFmtId="176" fontId="57" fillId="0" borderId="0" xfId="0" applyFont="true" applyBorder="true" applyAlignment="false" applyProtection="false">
      <alignment horizontal="general" vertical="bottom" textRotation="0" wrapText="false" indent="0" shrinkToFit="false"/>
      <protection locked="true" hidden="false"/>
    </xf>
    <xf numFmtId="176" fontId="57" fillId="0" borderId="23" xfId="0" applyFont="true" applyBorder="true" applyAlignment="false" applyProtection="false">
      <alignment horizontal="general" vertical="bottom" textRotation="0" wrapText="false" indent="0" shrinkToFit="false"/>
      <protection locked="true" hidden="false"/>
    </xf>
    <xf numFmtId="176" fontId="57" fillId="0" borderId="25" xfId="0" applyFont="true" applyBorder="true" applyAlignment="false" applyProtection="false">
      <alignment horizontal="general" vertical="bottom" textRotation="0" wrapText="false" indent="0" shrinkToFit="false"/>
      <protection locked="true" hidden="false"/>
    </xf>
    <xf numFmtId="176" fontId="57" fillId="0" borderId="26" xfId="0" applyFont="tru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162">
    <cellStyle name="Normal" xfId="0" builtinId="0"/>
    <cellStyle name="Comma" xfId="15" builtinId="3"/>
    <cellStyle name="Comma [0]" xfId="16" builtinId="6"/>
    <cellStyle name="Currency" xfId="17" builtinId="4"/>
    <cellStyle name="Currency [0]" xfId="18" builtinId="7"/>
    <cellStyle name="Percent" xfId="19" builtinId="5"/>
    <cellStyle name="20% - Accent1 2" xfId="20"/>
    <cellStyle name="20% - Accent1 3" xfId="21"/>
    <cellStyle name="20% - Accent2 2" xfId="22"/>
    <cellStyle name="20% - Accent2 3" xfId="23"/>
    <cellStyle name="20% - Accent3 2" xfId="24"/>
    <cellStyle name="20% - Accent3 3" xfId="25"/>
    <cellStyle name="20% - Accent4 2" xfId="26"/>
    <cellStyle name="20% - Accent4 3" xfId="27"/>
    <cellStyle name="20% - Accent5 2" xfId="28"/>
    <cellStyle name="20% - Accent5 3" xfId="29"/>
    <cellStyle name="20% - Accent6 2" xfId="30"/>
    <cellStyle name="20% - Accent6 3" xfId="31"/>
    <cellStyle name="40% - Accent1 2" xfId="32"/>
    <cellStyle name="40% - Accent1 3" xfId="33"/>
    <cellStyle name="40% - Accent2 2" xfId="34"/>
    <cellStyle name="40% - Accent2 3" xfId="35"/>
    <cellStyle name="40% - Accent3 2" xfId="36"/>
    <cellStyle name="40% - Accent3 3" xfId="37"/>
    <cellStyle name="40% - Accent4 2" xfId="38"/>
    <cellStyle name="40% - Accent4 3" xfId="39"/>
    <cellStyle name="40% - Accent5 2" xfId="40"/>
    <cellStyle name="40% - Accent5 3" xfId="41"/>
    <cellStyle name="40% - Accent6 2" xfId="42"/>
    <cellStyle name="40% - Accent6 3" xfId="43"/>
    <cellStyle name="60% - Accent1 2" xfId="44"/>
    <cellStyle name="60% - Accent1 3" xfId="45"/>
    <cellStyle name="60% - Accent2 2" xfId="46"/>
    <cellStyle name="60% - Accent2 3" xfId="47"/>
    <cellStyle name="60% - Accent3 2" xfId="48"/>
    <cellStyle name="60% - Accent3 3" xfId="49"/>
    <cellStyle name="60% - Accent4 2" xfId="50"/>
    <cellStyle name="60% - Accent4 3" xfId="51"/>
    <cellStyle name="60% - Accent5 2" xfId="52"/>
    <cellStyle name="60% - Accent5 3" xfId="53"/>
    <cellStyle name="60% - Accent6 2" xfId="54"/>
    <cellStyle name="60% - Accent6 3" xfId="55"/>
    <cellStyle name="Accent1 2" xfId="56"/>
    <cellStyle name="Accent1 3" xfId="57"/>
    <cellStyle name="Accent2 2" xfId="58"/>
    <cellStyle name="Accent2 3" xfId="59"/>
    <cellStyle name="Accent3 2" xfId="60"/>
    <cellStyle name="Accent3 3" xfId="61"/>
    <cellStyle name="Accent4 2" xfId="62"/>
    <cellStyle name="Accent4 3" xfId="63"/>
    <cellStyle name="Accent5 2" xfId="64"/>
    <cellStyle name="Accent5 3" xfId="65"/>
    <cellStyle name="Accent6 2" xfId="66"/>
    <cellStyle name="Accent6 3" xfId="67"/>
    <cellStyle name="Bad 2" xfId="68"/>
    <cellStyle name="Bad 3" xfId="69"/>
    <cellStyle name="Calculation 2" xfId="70"/>
    <cellStyle name="Calculation 3" xfId="71"/>
    <cellStyle name="Check Cell 2" xfId="72"/>
    <cellStyle name="Check Cell 3" xfId="73"/>
    <cellStyle name="Comma 2" xfId="74"/>
    <cellStyle name="Comma 3" xfId="75"/>
    <cellStyle name="Currency 2" xfId="76"/>
    <cellStyle name="Currency 2 2" xfId="77"/>
    <cellStyle name="Custom - Style8" xfId="78"/>
    <cellStyle name="Custom - Style8 2" xfId="79"/>
    <cellStyle name="Data   - Style2" xfId="80"/>
    <cellStyle name="Data   - Style2 2" xfId="81"/>
    <cellStyle name="Euro" xfId="82"/>
    <cellStyle name="Euro 2" xfId="83"/>
    <cellStyle name="Explanatory Text 2" xfId="84"/>
    <cellStyle name="Explanatory Text 3" xfId="85"/>
    <cellStyle name="Good 2" xfId="86"/>
    <cellStyle name="Good 3" xfId="87"/>
    <cellStyle name="Heading 1 2" xfId="88"/>
    <cellStyle name="Heading 1 3" xfId="89"/>
    <cellStyle name="Heading 2 2" xfId="90"/>
    <cellStyle name="Heading 2 3" xfId="91"/>
    <cellStyle name="Heading 3 2" xfId="92"/>
    <cellStyle name="Heading 3 3" xfId="93"/>
    <cellStyle name="Heading 4 2" xfId="94"/>
    <cellStyle name="Heading 4 3" xfId="95"/>
    <cellStyle name="Input 2" xfId="96"/>
    <cellStyle name="Input 3" xfId="97"/>
    <cellStyle name="Labels - Style3" xfId="98"/>
    <cellStyle name="Labels - Style3 2" xfId="99"/>
    <cellStyle name="Linked Cell 2" xfId="100"/>
    <cellStyle name="Linked Cell 3" xfId="101"/>
    <cellStyle name="Milliers [0]_A1_96VX" xfId="102"/>
    <cellStyle name="Milliers_A1_96VX" xfId="103"/>
    <cellStyle name="Monétaire [0]_A1_96VX" xfId="104"/>
    <cellStyle name="Monétaire_A1_96VX" xfId="105"/>
    <cellStyle name="Neutral 2" xfId="106"/>
    <cellStyle name="Neutral 3" xfId="107"/>
    <cellStyle name="Normal 10" xfId="108"/>
    <cellStyle name="Normal 11" xfId="109"/>
    <cellStyle name="Normal 12" xfId="110"/>
    <cellStyle name="Normal 13" xfId="111"/>
    <cellStyle name="Normal 14" xfId="112"/>
    <cellStyle name="Normal 15" xfId="113"/>
    <cellStyle name="Normal 15 2" xfId="114"/>
    <cellStyle name="Normal 16" xfId="115"/>
    <cellStyle name="Normal 16 2" xfId="116"/>
    <cellStyle name="Normal 17" xfId="117"/>
    <cellStyle name="Normal 18" xfId="118"/>
    <cellStyle name="Normal 19" xfId="119"/>
    <cellStyle name="Normal 2" xfId="120"/>
    <cellStyle name="Normal 2 2" xfId="121"/>
    <cellStyle name="Normal 20" xfId="122"/>
    <cellStyle name="Normal 21" xfId="123"/>
    <cellStyle name="Normal 22" xfId="124"/>
    <cellStyle name="Normal 23" xfId="125"/>
    <cellStyle name="Normal 24" xfId="126"/>
    <cellStyle name="Normal 25" xfId="127"/>
    <cellStyle name="Normal 26" xfId="128"/>
    <cellStyle name="Normal 27" xfId="129"/>
    <cellStyle name="Normal 28" xfId="130"/>
    <cellStyle name="Normal 28 2" xfId="131"/>
    <cellStyle name="Normal 29" xfId="132"/>
    <cellStyle name="Normal 3" xfId="133"/>
    <cellStyle name="Normal 30" xfId="134"/>
    <cellStyle name="Normal 31" xfId="135"/>
    <cellStyle name="Normal 32" xfId="136"/>
    <cellStyle name="Normal 32 2" xfId="137"/>
    <cellStyle name="Normal 33" xfId="138"/>
    <cellStyle name="Normal 34" xfId="139"/>
    <cellStyle name="Normal 35" xfId="140"/>
    <cellStyle name="Normal 4" xfId="141"/>
    <cellStyle name="Normal 5" xfId="142"/>
    <cellStyle name="Normal 5 2" xfId="143"/>
    <cellStyle name="Normal 6" xfId="144"/>
    <cellStyle name="Normal 6 2" xfId="145"/>
    <cellStyle name="Normal 7" xfId="146"/>
    <cellStyle name="Normal 8" xfId="147"/>
    <cellStyle name="Normal 9" xfId="148"/>
    <cellStyle name="Note 2" xfId="149"/>
    <cellStyle name="Note 3" xfId="150"/>
    <cellStyle name="Output 2" xfId="151"/>
    <cellStyle name="Output 3" xfId="152"/>
    <cellStyle name="Percent 2" xfId="153"/>
    <cellStyle name="Percent 2 2" xfId="154"/>
    <cellStyle name="Percent 3" xfId="155"/>
    <cellStyle name="Percent 4" xfId="156"/>
    <cellStyle name="Reset  - Style7" xfId="157"/>
    <cellStyle name="Reset  - Style7 2" xfId="158"/>
    <cellStyle name="Table  - Style6" xfId="159"/>
    <cellStyle name="Table  - Style6 2" xfId="160"/>
    <cellStyle name="Title  - Style1" xfId="161"/>
    <cellStyle name="Title  - Style1 2" xfId="162"/>
    <cellStyle name="Title 2" xfId="163"/>
    <cellStyle name="Title 3" xfId="164"/>
    <cellStyle name="Title 4" xfId="165"/>
    <cellStyle name="Total 2" xfId="166"/>
    <cellStyle name="Total 3" xfId="167"/>
    <cellStyle name="TotCol - Style5" xfId="168"/>
    <cellStyle name="TotCol - Style5 2" xfId="169"/>
    <cellStyle name="TotRow - Style4" xfId="170"/>
    <cellStyle name="TotRow - Style4 2" xfId="171"/>
    <cellStyle name="Warning Text 2" xfId="172"/>
    <cellStyle name="Warning Text 3" xfId="173"/>
    <cellStyle name="標準_NSGVBudget2003" xfId="174"/>
    <cellStyle name="표준_Sheet5" xfId="17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externalLink" Target="externalLinks/externalLink3.xml"/><Relationship Id="rId10"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file://Gagrani/gagrani-d/backup%2024.11.06/My%20Documents/Ajay/3CB%20&amp;%20CD/PP_Master%20Template.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Xpserver/My%20Disc%20(H)/Documents%20and%20Settings/Administrator/Local%20Settings/Temporary%20Internet%20Files/Content.IE5/0PIB0LMN/PP_Master%20Template.xls"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A:/Documents%20and%20Settings/mhnh/My%20Documents/2001/Asia%20Pacific/Plan/5Y_v2.14.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ainPage"/>
      <sheetName val="DR"/>
      <sheetName val="DR-Anx"/>
      <sheetName val="AR"/>
      <sheetName val="CARO"/>
      <sheetName val="CAROApp"/>
      <sheetName val="BS"/>
      <sheetName val="PL"/>
      <sheetName val="FundFlow"/>
      <sheetName val="Instructions"/>
      <sheetName val="BSSch"/>
      <sheetName val="FASch"/>
      <sheetName val="PLSch"/>
      <sheetName val="Notes"/>
      <sheetName val="PartIV"/>
      <sheetName val="GR-BS"/>
      <sheetName val="GR-PL"/>
      <sheetName val="AS22"/>
      <sheetName val="115JB"/>
      <sheetName val="115JB-Anx"/>
      <sheetName val="3CA"/>
      <sheetName val="3CA-Anx"/>
      <sheetName val="3CD"/>
      <sheetName val="145A-Exclusive"/>
      <sheetName val="145-Incusive"/>
      <sheetName val="3CD-145A-Anx"/>
      <sheetName val="3CD-Dep-Anx"/>
      <sheetName val="3CD-40A(3)-Anx"/>
      <sheetName val="3CD-40A(2)(b)-Anx"/>
      <sheetName val="3CD-269SS-T-Anx"/>
      <sheetName val="3CD-CFLoss-Anx"/>
      <sheetName val="3CD-Ratios-Anx "/>
      <sheetName val="Names"/>
      <sheetName val="IT"/>
      <sheetName val="Mas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inPage"/>
      <sheetName val="DR"/>
      <sheetName val="DR-Anx"/>
      <sheetName val="AR"/>
      <sheetName val="CARO"/>
      <sheetName val="CAROApp"/>
      <sheetName val="BS"/>
      <sheetName val="PL"/>
      <sheetName val="FundFlow"/>
      <sheetName val="Instructions"/>
      <sheetName val="BSSch"/>
      <sheetName val="FASch"/>
      <sheetName val="PLSch"/>
      <sheetName val="Notes"/>
      <sheetName val="PartIV"/>
      <sheetName val="GR-BS"/>
      <sheetName val="GR-PL"/>
      <sheetName val="AS22"/>
      <sheetName val="115JB"/>
      <sheetName val="115JB-Anx"/>
      <sheetName val="3CA"/>
      <sheetName val="3CA-Anx"/>
      <sheetName val="3CD"/>
      <sheetName val="145A-Exclusive"/>
      <sheetName val="145-Incusive"/>
      <sheetName val="3CD-145A-Anx"/>
      <sheetName val="3CD-Dep-Anx"/>
      <sheetName val="3CD-40A(3)-Anx"/>
      <sheetName val="3CD-40A(2)(b)-Anx"/>
      <sheetName val="3CD-269SS-T-Anx"/>
      <sheetName val="3CD-CFLoss-Anx"/>
      <sheetName val="3CD-Ratios-Anx "/>
      <sheetName val="Names"/>
      <sheetName val="IT"/>
      <sheetName val="Mas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OW"/>
      <sheetName val="OPS_asia"/>
      <sheetName val="Production"/>
      <sheetName val="PRICE"/>
      <sheetName val="Data"/>
      <sheetName val="OPS_SIMPLIFIE"/>
      <sheetName val="CESSION"/>
      <sheetName val="ORDER"/>
      <sheetName val="income"/>
      <sheetName val="AP RA99-06"/>
      <sheetName val="HV RA99-06"/>
      <sheetName val="IN RA99-06"/>
      <sheetName val="CH RA99-06"/>
      <sheetName val="TH RA99-06"/>
      <sheetName val="HZ RA99-06"/>
      <sheetName val="AP_RA99-06"/>
      <sheetName val="HV_RA99-06"/>
      <sheetName val="IN_RA99-06"/>
      <sheetName val="CH_RA99-06"/>
      <sheetName val="TH_RA99-06"/>
      <sheetName val="HZ_RA99-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C7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0703125" defaultRowHeight="15" zeroHeight="false" outlineLevelRow="0" outlineLevelCol="0"/>
  <cols>
    <col collapsed="false" customWidth="true" hidden="false" outlineLevel="0" max="1" min="1" style="1" width="6.56"/>
    <col collapsed="false" customWidth="true" hidden="false" outlineLevel="0" max="3" min="2" style="2" width="16.84"/>
    <col collapsed="false" customWidth="true" hidden="false" outlineLevel="0" max="4" min="4" style="2" width="15.56"/>
    <col collapsed="false" customWidth="true" hidden="false" outlineLevel="0" max="5" min="5" style="2" width="21.7"/>
    <col collapsed="false" customWidth="true" hidden="false" outlineLevel="0" max="6" min="6" style="2" width="17.7"/>
    <col collapsed="false" customWidth="true" hidden="false" outlineLevel="0" max="7" min="7" style="2" width="17.42"/>
    <col collapsed="false" customWidth="true" hidden="false" outlineLevel="0" max="8" min="8" style="3" width="17.28"/>
    <col collapsed="false" customWidth="true" hidden="false" outlineLevel="0" max="9" min="9" style="3" width="12.7"/>
    <col collapsed="false" customWidth="true" hidden="false" outlineLevel="0" max="10" min="10" style="3" width="9.99"/>
    <col collapsed="false" customWidth="true" hidden="false" outlineLevel="0" max="11" min="11" style="3" width="11.13"/>
    <col collapsed="false" customWidth="true" hidden="false" outlineLevel="0" max="12" min="12" style="3" width="14.56"/>
    <col collapsed="false" customWidth="false" hidden="false" outlineLevel="0" max="79" min="13" style="3" width="8.7"/>
    <col collapsed="false" customWidth="false" hidden="false" outlineLevel="0" max="257" min="80" style="2" width="8.7"/>
  </cols>
  <sheetData>
    <row r="1" customFormat="false" ht="14.25" hidden="false" customHeight="true" outlineLevel="0" collapsed="false">
      <c r="A1" s="4" t="s">
        <v>0</v>
      </c>
      <c r="B1" s="5" t="s">
        <v>1</v>
      </c>
      <c r="C1" s="5"/>
      <c r="D1" s="5"/>
      <c r="E1" s="5"/>
      <c r="F1" s="5" t="s">
        <v>1</v>
      </c>
      <c r="G1" s="2" t="s">
        <v>1</v>
      </c>
      <c r="H1" s="6" t="n">
        <f aca="false">+F29-F46</f>
        <v>0</v>
      </c>
      <c r="I1" s="6" t="n">
        <f aca="false">+G29-G46</f>
        <v>0</v>
      </c>
    </row>
    <row r="2" customFormat="false" ht="15.75" hidden="false" customHeight="true" outlineLevel="0" collapsed="false">
      <c r="A2" s="7" t="s">
        <v>2</v>
      </c>
      <c r="B2" s="7"/>
      <c r="C2" s="7"/>
      <c r="D2" s="7"/>
      <c r="E2" s="7"/>
      <c r="F2" s="7"/>
      <c r="G2" s="7"/>
    </row>
    <row r="3" customFormat="false" ht="15.75" hidden="false" customHeight="true" outlineLevel="0" collapsed="false">
      <c r="A3" s="7" t="s">
        <v>3</v>
      </c>
      <c r="B3" s="7"/>
      <c r="C3" s="7"/>
      <c r="D3" s="7"/>
      <c r="E3" s="7"/>
      <c r="F3" s="7"/>
      <c r="G3" s="7"/>
    </row>
    <row r="4" customFormat="false" ht="17.25" hidden="false" customHeight="true" outlineLevel="0" collapsed="false">
      <c r="A4" s="8" t="s">
        <v>4</v>
      </c>
      <c r="B4" s="8"/>
      <c r="C4" s="8"/>
      <c r="D4" s="8"/>
      <c r="E4" s="9" t="s">
        <v>5</v>
      </c>
      <c r="F4" s="10"/>
      <c r="G4" s="11"/>
    </row>
    <row r="5" customFormat="false" ht="15" hidden="false" customHeight="false" outlineLevel="0" collapsed="false">
      <c r="A5" s="12" t="s">
        <v>6</v>
      </c>
      <c r="B5" s="12"/>
      <c r="C5" s="12"/>
      <c r="D5" s="12"/>
      <c r="E5" s="12"/>
      <c r="F5" s="12"/>
      <c r="G5" s="12"/>
    </row>
    <row r="6" s="15" customFormat="true" ht="57.75" hidden="false" customHeight="true" outlineLevel="0" collapsed="false">
      <c r="A6" s="7" t="s">
        <v>7</v>
      </c>
      <c r="B6" s="7"/>
      <c r="C6" s="7"/>
      <c r="D6" s="7"/>
      <c r="E6" s="7" t="s">
        <v>8</v>
      </c>
      <c r="F6" s="13" t="s">
        <v>9</v>
      </c>
      <c r="G6" s="13" t="s">
        <v>10</v>
      </c>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row>
    <row r="7" s="15" customFormat="true" ht="13.5" hidden="false" customHeight="false" outlineLevel="0" collapsed="false">
      <c r="A7" s="16"/>
      <c r="B7" s="17"/>
      <c r="C7" s="17"/>
      <c r="D7" s="18"/>
      <c r="E7" s="19"/>
      <c r="F7" s="20" t="s">
        <v>11</v>
      </c>
      <c r="G7" s="20" t="s">
        <v>11</v>
      </c>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row>
    <row r="8" customFormat="false" ht="16.5" hidden="false" customHeight="false" outlineLevel="0" collapsed="false">
      <c r="A8" s="21" t="s">
        <v>12</v>
      </c>
      <c r="B8" s="21"/>
      <c r="C8" s="21"/>
      <c r="D8" s="21"/>
      <c r="E8" s="3"/>
      <c r="F8" s="22" t="s">
        <v>13</v>
      </c>
      <c r="G8" s="22"/>
    </row>
    <row r="9" customFormat="false" ht="15" hidden="false" customHeight="false" outlineLevel="0" collapsed="false">
      <c r="A9" s="23"/>
      <c r="B9" s="3"/>
      <c r="C9" s="3"/>
      <c r="D9" s="3"/>
      <c r="E9" s="3"/>
      <c r="F9" s="24"/>
      <c r="G9" s="24"/>
      <c r="J9" s="3" t="s">
        <v>14</v>
      </c>
      <c r="K9" s="3" t="s">
        <v>15</v>
      </c>
      <c r="L9" s="3" t="s">
        <v>16</v>
      </c>
    </row>
    <row r="10" customFormat="false" ht="15.75" hidden="false" customHeight="false" outlineLevel="0" collapsed="false">
      <c r="A10" s="25" t="s">
        <v>17</v>
      </c>
      <c r="B10" s="25"/>
      <c r="C10" s="25"/>
      <c r="D10" s="25"/>
      <c r="E10" s="3"/>
      <c r="F10" s="24"/>
      <c r="G10" s="24"/>
      <c r="I10" s="3" t="s">
        <v>18</v>
      </c>
      <c r="J10" s="3" t="n">
        <f aca="false">+F45-F28</f>
        <v>79975606.48</v>
      </c>
      <c r="K10" s="3" t="n">
        <f aca="false">+G45-G28</f>
        <v>75513133.9</v>
      </c>
      <c r="L10" s="26" t="n">
        <v>71855822.52</v>
      </c>
    </row>
    <row r="11" customFormat="false" ht="13.5" hidden="false" customHeight="false" outlineLevel="0" collapsed="false">
      <c r="A11" s="27" t="s">
        <v>19</v>
      </c>
      <c r="B11" s="3"/>
      <c r="C11" s="3"/>
      <c r="D11" s="3"/>
      <c r="E11" s="28" t="n">
        <f aca="false">A173</f>
        <v>3</v>
      </c>
      <c r="F11" s="24" t="n">
        <f aca="false">+F187</f>
        <v>3000000</v>
      </c>
      <c r="G11" s="24" t="n">
        <f aca="false">+G187</f>
        <v>3000000</v>
      </c>
      <c r="J11" s="3" t="n">
        <f aca="false">+J10+K10</f>
        <v>155488740.38</v>
      </c>
      <c r="K11" s="3" t="n">
        <f aca="false">+K10+L10</f>
        <v>147368956.42</v>
      </c>
    </row>
    <row r="12" customFormat="false" ht="13.5" hidden="false" customHeight="false" outlineLevel="0" collapsed="false">
      <c r="A12" s="27" t="s">
        <v>20</v>
      </c>
      <c r="B12" s="3"/>
      <c r="C12" s="3"/>
      <c r="D12" s="3"/>
      <c r="E12" s="28" t="n">
        <f aca="false">A216</f>
        <v>4</v>
      </c>
      <c r="F12" s="24" t="n">
        <f aca="false">+F233</f>
        <v>211792.510000004</v>
      </c>
      <c r="G12" s="24" t="n">
        <f aca="false">+G233</f>
        <v>41316.9999999981</v>
      </c>
      <c r="I12" s="3" t="s">
        <v>21</v>
      </c>
      <c r="J12" s="3" t="n">
        <f aca="false">+J11/2</f>
        <v>77744370.19</v>
      </c>
      <c r="K12" s="3" t="n">
        <f aca="false">+K11/2</f>
        <v>73684478.21</v>
      </c>
    </row>
    <row r="13" customFormat="false" ht="13.5" hidden="false" customHeight="false" outlineLevel="0" collapsed="false">
      <c r="A13" s="27"/>
      <c r="B13" s="3"/>
      <c r="C13" s="3"/>
      <c r="D13" s="3"/>
      <c r="E13" s="28"/>
      <c r="F13" s="24"/>
      <c r="G13" s="24"/>
    </row>
    <row r="14" customFormat="false" ht="15" hidden="false" customHeight="false" outlineLevel="0" collapsed="false">
      <c r="A14" s="29"/>
      <c r="B14" s="3"/>
      <c r="C14" s="3"/>
      <c r="D14" s="3"/>
      <c r="E14" s="28"/>
      <c r="F14" s="30" t="n">
        <f aca="false">SUM(F11:F12)</f>
        <v>3211792.51</v>
      </c>
      <c r="G14" s="30" t="n">
        <f aca="false">SUM(G11:G12)</f>
        <v>3041317</v>
      </c>
      <c r="H14" s="3" t="n">
        <v>2754419.13</v>
      </c>
    </row>
    <row r="15" customFormat="false" ht="15" hidden="false" customHeight="false" outlineLevel="0" collapsed="false">
      <c r="A15" s="25" t="s">
        <v>22</v>
      </c>
      <c r="B15" s="25"/>
      <c r="C15" s="25"/>
      <c r="D15" s="25"/>
      <c r="E15" s="28"/>
      <c r="F15" s="24"/>
      <c r="G15" s="24"/>
    </row>
    <row r="16" customFormat="false" ht="15" hidden="false" customHeight="false" outlineLevel="0" collapsed="false">
      <c r="A16" s="29"/>
      <c r="B16" s="3"/>
      <c r="C16" s="3"/>
      <c r="D16" s="3"/>
      <c r="E16" s="28"/>
      <c r="F16" s="24"/>
      <c r="G16" s="24"/>
    </row>
    <row r="17" customFormat="false" ht="15" hidden="false" customHeight="false" outlineLevel="0" collapsed="false">
      <c r="A17" s="25" t="s">
        <v>23</v>
      </c>
      <c r="B17" s="25"/>
      <c r="C17" s="25"/>
      <c r="D17" s="25"/>
      <c r="E17" s="28"/>
      <c r="F17" s="24"/>
      <c r="G17" s="24"/>
    </row>
    <row r="18" customFormat="false" ht="13.5" hidden="false" customHeight="false" outlineLevel="0" collapsed="false">
      <c r="A18" s="31" t="s">
        <v>24</v>
      </c>
      <c r="B18" s="3"/>
      <c r="C18" s="3"/>
      <c r="D18" s="3"/>
      <c r="E18" s="32" t="n">
        <f aca="false">A236</f>
        <v>5</v>
      </c>
      <c r="F18" s="24" t="n">
        <f aca="false">D251</f>
        <v>77374996.94</v>
      </c>
      <c r="G18" s="3" t="n">
        <f aca="false">E251</f>
        <v>73150309.65</v>
      </c>
    </row>
    <row r="19" customFormat="false" ht="13.5" hidden="false" customHeight="false" outlineLevel="0" collapsed="false">
      <c r="A19" s="31" t="s">
        <v>25</v>
      </c>
      <c r="B19" s="3"/>
      <c r="C19" s="3"/>
      <c r="D19" s="3"/>
      <c r="E19" s="28" t="n">
        <f aca="false">A272</f>
        <v>6</v>
      </c>
      <c r="F19" s="24" t="n">
        <v>0</v>
      </c>
      <c r="G19" s="24" t="n">
        <f aca="false">IF(G282&gt;0,G282,0)</f>
        <v>0</v>
      </c>
    </row>
    <row r="20" customFormat="false" ht="15" hidden="false" customHeight="false" outlineLevel="0" collapsed="false">
      <c r="A20" s="29"/>
      <c r="B20" s="3"/>
      <c r="C20" s="3"/>
      <c r="D20" s="3"/>
      <c r="E20" s="28"/>
      <c r="F20" s="30" t="n">
        <f aca="false">SUM(F18:F19)</f>
        <v>77374996.94</v>
      </c>
      <c r="G20" s="30" t="n">
        <f aca="false">SUM(G18:G19)</f>
        <v>73150309.65</v>
      </c>
    </row>
    <row r="21" customFormat="false" ht="15" hidden="false" customHeight="false" outlineLevel="0" collapsed="false">
      <c r="A21" s="25" t="s">
        <v>26</v>
      </c>
      <c r="B21" s="25"/>
      <c r="C21" s="25"/>
      <c r="D21" s="25"/>
      <c r="E21" s="28"/>
      <c r="F21" s="24"/>
      <c r="G21" s="22"/>
    </row>
    <row r="22" customFormat="false" ht="13.5" hidden="false" customHeight="false" outlineLevel="0" collapsed="false">
      <c r="A22" s="31" t="s">
        <v>27</v>
      </c>
      <c r="B22" s="3"/>
      <c r="C22" s="3"/>
      <c r="D22" s="3"/>
      <c r="E22" s="28" t="n">
        <f aca="false">A285</f>
        <v>7</v>
      </c>
      <c r="F22" s="24" t="n">
        <f aca="false">+F292</f>
        <v>654705</v>
      </c>
      <c r="G22" s="24" t="n">
        <f aca="false">+G292</f>
        <v>752605.29</v>
      </c>
    </row>
    <row r="23" customFormat="false" ht="13.5" hidden="false" customHeight="false" outlineLevel="0" collapsed="false">
      <c r="A23" s="31" t="s">
        <v>28</v>
      </c>
      <c r="B23" s="3"/>
      <c r="C23" s="3"/>
      <c r="D23" s="3"/>
      <c r="E23" s="28"/>
      <c r="F23" s="24"/>
      <c r="G23" s="24"/>
    </row>
    <row r="24" customFormat="false" ht="13.5" hidden="false" customHeight="false" outlineLevel="0" collapsed="false">
      <c r="A24" s="31"/>
      <c r="B24" s="3" t="s">
        <v>29</v>
      </c>
      <c r="C24" s="3"/>
      <c r="D24" s="3"/>
      <c r="E24" s="28" t="n">
        <f aca="false">A298</f>
        <v>8</v>
      </c>
      <c r="F24" s="24" t="n">
        <f aca="false">+G302</f>
        <v>0</v>
      </c>
      <c r="G24" s="24" t="n">
        <f aca="false">+G310</f>
        <v>0</v>
      </c>
      <c r="H24" s="3" t="n">
        <v>0</v>
      </c>
    </row>
    <row r="25" customFormat="false" ht="24.75" hidden="false" customHeight="true" outlineLevel="0" collapsed="false">
      <c r="A25" s="31"/>
      <c r="B25" s="33" t="s">
        <v>30</v>
      </c>
      <c r="C25" s="33"/>
      <c r="D25" s="33"/>
      <c r="E25" s="28"/>
      <c r="F25" s="24" t="n">
        <f aca="false">+G303</f>
        <v>1901469</v>
      </c>
      <c r="G25" s="24" t="n">
        <f aca="false">+G311</f>
        <v>3210699.69</v>
      </c>
      <c r="H25" s="3" t="n">
        <v>2365142.49</v>
      </c>
    </row>
    <row r="26" customFormat="false" ht="13.5" hidden="false" customHeight="false" outlineLevel="0" collapsed="false">
      <c r="A26" s="31" t="s">
        <v>31</v>
      </c>
      <c r="B26" s="3"/>
      <c r="C26" s="3"/>
      <c r="D26" s="3"/>
      <c r="E26" s="28" t="n">
        <f aca="false">A314</f>
        <v>9</v>
      </c>
      <c r="F26" s="24" t="n">
        <f aca="false">F331</f>
        <v>1827622.71</v>
      </c>
      <c r="G26" s="24" t="n">
        <f aca="false">G331</f>
        <v>877050</v>
      </c>
    </row>
    <row r="27" customFormat="false" ht="13.5" hidden="false" customHeight="false" outlineLevel="0" collapsed="false">
      <c r="A27" s="31" t="s">
        <v>32</v>
      </c>
      <c r="B27" s="3"/>
      <c r="C27" s="3"/>
      <c r="D27" s="3"/>
      <c r="E27" s="28" t="n">
        <f aca="false">A334</f>
        <v>10</v>
      </c>
      <c r="F27" s="24" t="n">
        <f aca="false">+F338</f>
        <v>14679</v>
      </c>
      <c r="G27" s="24" t="n">
        <f aca="false">+G338</f>
        <v>49580</v>
      </c>
    </row>
    <row r="28" customFormat="false" ht="15" hidden="false" customHeight="false" outlineLevel="0" collapsed="false">
      <c r="A28" s="29"/>
      <c r="B28" s="3"/>
      <c r="C28" s="3"/>
      <c r="D28" s="3"/>
      <c r="E28" s="28"/>
      <c r="F28" s="30" t="n">
        <f aca="false">SUM(F21:F27)</f>
        <v>4398475.71</v>
      </c>
      <c r="G28" s="30" t="n">
        <f aca="false">SUM(G21:G27)</f>
        <v>4889934.98</v>
      </c>
    </row>
    <row r="29" customFormat="false" ht="15" hidden="false" customHeight="false" outlineLevel="0" collapsed="false">
      <c r="A29" s="34" t="s">
        <v>33</v>
      </c>
      <c r="B29" s="3"/>
      <c r="C29" s="3"/>
      <c r="D29" s="3"/>
      <c r="E29" s="28"/>
      <c r="F29" s="30" t="n">
        <f aca="false">+F28+F20+F14</f>
        <v>84985265.16</v>
      </c>
      <c r="G29" s="30" t="n">
        <f aca="false">+G28+G20+G14</f>
        <v>81081561.63</v>
      </c>
    </row>
    <row r="30" customFormat="false" ht="16.5" hidden="false" customHeight="false" outlineLevel="0" collapsed="false">
      <c r="A30" s="35" t="s">
        <v>34</v>
      </c>
      <c r="B30" s="35"/>
      <c r="C30" s="35"/>
      <c r="D30" s="35"/>
      <c r="E30" s="28"/>
      <c r="F30" s="22"/>
      <c r="G30" s="22"/>
    </row>
    <row r="31" customFormat="false" ht="15" hidden="false" customHeight="false" outlineLevel="0" collapsed="false">
      <c r="A31" s="25" t="s">
        <v>35</v>
      </c>
      <c r="B31" s="25"/>
      <c r="C31" s="25"/>
      <c r="D31" s="25"/>
      <c r="E31" s="28"/>
      <c r="F31" s="24"/>
      <c r="G31" s="24"/>
    </row>
    <row r="32" customFormat="false" ht="13.5" hidden="false" customHeight="false" outlineLevel="0" collapsed="false">
      <c r="A32" s="27" t="s">
        <v>36</v>
      </c>
      <c r="B32" s="3"/>
      <c r="C32" s="3"/>
      <c r="D32" s="36"/>
      <c r="E32" s="28" t="n">
        <f aca="false">+E27+1</f>
        <v>11</v>
      </c>
      <c r="F32" s="24" t="n">
        <f aca="false">'Dep. SCH'!L32</f>
        <v>565757.97</v>
      </c>
      <c r="G32" s="37" t="n">
        <f aca="false">'Dep. SCH'!M32</f>
        <v>631853.75</v>
      </c>
    </row>
    <row r="33" customFormat="false" ht="13.5" hidden="false" customHeight="false" outlineLevel="0" collapsed="false">
      <c r="A33" s="38" t="s">
        <v>37</v>
      </c>
      <c r="B33" s="39"/>
      <c r="C33" s="3"/>
      <c r="D33" s="36"/>
      <c r="E33" s="28"/>
      <c r="F33" s="40"/>
      <c r="G33" s="24"/>
    </row>
    <row r="34" customFormat="false" ht="13.5" hidden="false" customHeight="false" outlineLevel="0" collapsed="false">
      <c r="A34" s="38" t="s">
        <v>38</v>
      </c>
      <c r="B34" s="39"/>
      <c r="C34" s="3"/>
      <c r="D34" s="36"/>
      <c r="E34" s="28"/>
      <c r="F34" s="40"/>
      <c r="G34" s="24"/>
    </row>
    <row r="35" customFormat="false" ht="13.5" hidden="false" customHeight="false" outlineLevel="0" collapsed="false">
      <c r="A35" s="38" t="s">
        <v>39</v>
      </c>
      <c r="B35" s="3"/>
      <c r="C35" s="3"/>
      <c r="D35" s="3"/>
      <c r="E35" s="28" t="n">
        <f aca="false">+E32+1</f>
        <v>12</v>
      </c>
      <c r="F35" s="24" t="n">
        <f aca="false">+F348</f>
        <v>0</v>
      </c>
      <c r="G35" s="24" t="n">
        <f aca="false">+G348</f>
        <v>0</v>
      </c>
    </row>
    <row r="36" customFormat="false" ht="13.5" hidden="false" customHeight="true" outlineLevel="0" collapsed="false">
      <c r="A36" s="38" t="s">
        <v>40</v>
      </c>
      <c r="B36" s="3"/>
      <c r="C36" s="3"/>
      <c r="D36" s="3"/>
      <c r="E36" s="28" t="n">
        <f aca="false">A351</f>
        <v>13</v>
      </c>
      <c r="F36" s="41" t="n">
        <f aca="false">F362</f>
        <v>45425</v>
      </c>
      <c r="G36" s="41" t="n">
        <f aca="false">G362</f>
        <v>46639</v>
      </c>
    </row>
    <row r="37" customFormat="false" ht="15" hidden="false" customHeight="false" outlineLevel="0" collapsed="false">
      <c r="A37" s="29" t="s">
        <v>41</v>
      </c>
      <c r="B37" s="3"/>
      <c r="C37" s="3"/>
      <c r="D37" s="3"/>
      <c r="E37" s="28"/>
      <c r="F37" s="30" t="n">
        <f aca="false">SUM(F31:F36)</f>
        <v>611182.97</v>
      </c>
      <c r="G37" s="42" t="n">
        <f aca="false">SUM(G31:G36)</f>
        <v>678492.75</v>
      </c>
    </row>
    <row r="38" customFormat="false" ht="15" hidden="false" customHeight="false" outlineLevel="0" collapsed="false">
      <c r="A38" s="25" t="s">
        <v>42</v>
      </c>
      <c r="B38" s="25"/>
      <c r="C38" s="25"/>
      <c r="D38" s="25"/>
      <c r="E38" s="28" t="s">
        <v>1</v>
      </c>
      <c r="F38" s="22"/>
      <c r="G38" s="43"/>
    </row>
    <row r="39" customFormat="false" ht="13.5" hidden="false" customHeight="false" outlineLevel="0" collapsed="false">
      <c r="A39" s="31" t="s">
        <v>43</v>
      </c>
      <c r="B39" s="3"/>
      <c r="C39" s="3"/>
      <c r="D39" s="3"/>
      <c r="E39" s="28" t="n">
        <f aca="false">A364</f>
        <v>14</v>
      </c>
      <c r="F39" s="24" t="n">
        <f aca="false">F374</f>
        <v>75322850</v>
      </c>
      <c r="G39" s="37" t="n">
        <f aca="false">G374</f>
        <v>71260850</v>
      </c>
      <c r="H39" s="3" t="n">
        <v>66380400</v>
      </c>
    </row>
    <row r="40" customFormat="false" ht="13.5" hidden="false" customHeight="false" outlineLevel="0" collapsed="false">
      <c r="A40" s="31" t="s">
        <v>44</v>
      </c>
      <c r="B40" s="3"/>
      <c r="C40" s="3"/>
      <c r="D40" s="3"/>
      <c r="E40" s="28" t="n">
        <f aca="false">A391</f>
        <v>15</v>
      </c>
      <c r="F40" s="24" t="n">
        <f aca="false">G402</f>
        <v>7947879</v>
      </c>
      <c r="G40" s="37" t="n">
        <f aca="false">G412</f>
        <v>8002329</v>
      </c>
      <c r="H40" s="3" t="n">
        <v>7947879</v>
      </c>
    </row>
    <row r="41" customFormat="false" ht="13.5" hidden="false" customHeight="false" outlineLevel="0" collapsed="false">
      <c r="A41" s="31" t="s">
        <v>45</v>
      </c>
      <c r="B41" s="3"/>
      <c r="C41" s="3"/>
      <c r="D41" s="3"/>
      <c r="E41" s="28"/>
      <c r="F41" s="24"/>
      <c r="G41" s="37"/>
    </row>
    <row r="42" customFormat="false" ht="13.5" hidden="false" customHeight="false" outlineLevel="0" collapsed="false">
      <c r="A42" s="31" t="s">
        <v>46</v>
      </c>
      <c r="B42" s="3"/>
      <c r="C42" s="3"/>
      <c r="D42" s="3"/>
      <c r="E42" s="28" t="n">
        <f aca="false">A415</f>
        <v>16</v>
      </c>
      <c r="F42" s="24" t="n">
        <f aca="false">F419</f>
        <v>438801.88</v>
      </c>
      <c r="G42" s="37" t="n">
        <f aca="false">G419</f>
        <v>519160.16</v>
      </c>
    </row>
    <row r="43" customFormat="false" ht="13.5" hidden="false" customHeight="false" outlineLevel="0" collapsed="false">
      <c r="A43" s="31" t="s">
        <v>47</v>
      </c>
      <c r="B43" s="3"/>
      <c r="C43" s="3"/>
      <c r="D43" s="3"/>
      <c r="E43" s="28" t="n">
        <f aca="false">A421</f>
        <v>17</v>
      </c>
      <c r="F43" s="24" t="n">
        <f aca="false">+F425</f>
        <v>0</v>
      </c>
      <c r="G43" s="37" t="n">
        <f aca="false">G425</f>
        <v>0</v>
      </c>
    </row>
    <row r="44" customFormat="false" ht="13.5" hidden="false" customHeight="false" outlineLevel="0" collapsed="false">
      <c r="A44" s="31" t="s">
        <v>48</v>
      </c>
      <c r="B44" s="3"/>
      <c r="C44" s="3"/>
      <c r="D44" s="3"/>
      <c r="E44" s="28" t="n">
        <f aca="false">A432</f>
        <v>18</v>
      </c>
      <c r="F44" s="24" t="n">
        <f aca="false">+F443</f>
        <v>664551.31</v>
      </c>
      <c r="G44" s="37" t="n">
        <f aca="false">+G443</f>
        <v>620729.72</v>
      </c>
    </row>
    <row r="45" customFormat="false" ht="15" hidden="false" customHeight="false" outlineLevel="0" collapsed="false">
      <c r="A45" s="29"/>
      <c r="B45" s="3"/>
      <c r="C45" s="3"/>
      <c r="D45" s="3"/>
      <c r="E45" s="28"/>
      <c r="F45" s="22" t="n">
        <f aca="false">SUM(F39:F44)</f>
        <v>84374082.19</v>
      </c>
      <c r="G45" s="43" t="n">
        <f aca="false">SUM(G39:G44)</f>
        <v>80403068.88</v>
      </c>
    </row>
    <row r="46" customFormat="false" ht="15" hidden="false" customHeight="false" outlineLevel="0" collapsed="false">
      <c r="A46" s="44" t="s">
        <v>33</v>
      </c>
      <c r="B46" s="3"/>
      <c r="C46" s="3"/>
      <c r="D46" s="3"/>
      <c r="E46" s="3"/>
      <c r="F46" s="30" t="n">
        <f aca="false">+F37+F45</f>
        <v>84985265.16</v>
      </c>
      <c r="G46" s="42" t="n">
        <f aca="false">+G37+G45</f>
        <v>81081561.63</v>
      </c>
      <c r="H46" s="6"/>
      <c r="I46" s="6"/>
    </row>
    <row r="47" customFormat="false" ht="15" hidden="false" customHeight="false" outlineLevel="0" collapsed="false">
      <c r="A47" s="4" t="s">
        <v>49</v>
      </c>
      <c r="B47" s="5"/>
      <c r="C47" s="5"/>
      <c r="D47" s="5"/>
      <c r="E47" s="5"/>
      <c r="F47" s="45" t="s">
        <v>50</v>
      </c>
      <c r="G47" s="37"/>
    </row>
    <row r="48" customFormat="false" ht="15" hidden="false" customHeight="false" outlineLevel="0" collapsed="false">
      <c r="A48" s="29" t="s">
        <v>1</v>
      </c>
      <c r="B48" s="3" t="s">
        <v>1</v>
      </c>
      <c r="C48" s="3"/>
      <c r="D48" s="3"/>
      <c r="E48" s="3"/>
      <c r="F48" s="46" t="s">
        <v>51</v>
      </c>
      <c r="G48" s="37"/>
    </row>
    <row r="49" customFormat="false" ht="15" hidden="false" customHeight="false" outlineLevel="0" collapsed="false">
      <c r="A49" s="29" t="s">
        <v>52</v>
      </c>
      <c r="B49" s="3"/>
      <c r="C49" s="3"/>
      <c r="D49" s="3"/>
      <c r="E49" s="3"/>
      <c r="F49" s="46" t="s">
        <v>53</v>
      </c>
      <c r="G49" s="37"/>
    </row>
    <row r="50" customFormat="false" ht="15" hidden="false" customHeight="false" outlineLevel="0" collapsed="false">
      <c r="A50" s="29"/>
      <c r="B50" s="3"/>
      <c r="C50" s="3"/>
      <c r="D50" s="3"/>
      <c r="E50" s="3"/>
      <c r="F50" s="46" t="s">
        <v>54</v>
      </c>
      <c r="G50" s="37"/>
    </row>
    <row r="51" customFormat="false" ht="15" hidden="false" customHeight="false" outlineLevel="0" collapsed="false">
      <c r="A51" s="29"/>
      <c r="B51" s="3"/>
      <c r="C51" s="3"/>
      <c r="D51" s="3"/>
      <c r="E51" s="3"/>
      <c r="F51" s="14"/>
      <c r="G51" s="37"/>
    </row>
    <row r="52" customFormat="false" ht="15" hidden="false" customHeight="true" outlineLevel="0" collapsed="false">
      <c r="A52" s="47" t="s">
        <v>55</v>
      </c>
      <c r="B52" s="47"/>
      <c r="C52" s="47" t="s">
        <v>56</v>
      </c>
      <c r="D52" s="47"/>
      <c r="E52" s="48"/>
      <c r="G52" s="37"/>
    </row>
    <row r="53" customFormat="false" ht="15" hidden="false" customHeight="true" outlineLevel="0" collapsed="false">
      <c r="A53" s="49" t="s">
        <v>57</v>
      </c>
      <c r="B53" s="49"/>
      <c r="C53" s="49" t="s">
        <v>57</v>
      </c>
      <c r="D53" s="49"/>
      <c r="E53" s="50"/>
      <c r="F53" s="46" t="s">
        <v>58</v>
      </c>
      <c r="G53" s="37"/>
    </row>
    <row r="54" customFormat="false" ht="15" hidden="false" customHeight="true" outlineLevel="0" collapsed="false">
      <c r="A54" s="49" t="s">
        <v>59</v>
      </c>
      <c r="B54" s="49"/>
      <c r="C54" s="49" t="s">
        <v>60</v>
      </c>
      <c r="D54" s="49"/>
      <c r="E54" s="49"/>
      <c r="F54" s="50" t="s">
        <v>61</v>
      </c>
      <c r="G54" s="37"/>
    </row>
    <row r="55" customFormat="false" ht="15" hidden="false" customHeight="false" outlineLevel="0" collapsed="false">
      <c r="A55" s="29" t="s">
        <v>62</v>
      </c>
      <c r="B55" s="48" t="s">
        <v>63</v>
      </c>
      <c r="C55" s="48"/>
      <c r="D55" s="48"/>
      <c r="E55" s="48"/>
      <c r="F55" s="48" t="s">
        <v>64</v>
      </c>
      <c r="G55" s="37"/>
    </row>
    <row r="56" customFormat="false" ht="15" hidden="false" customHeight="false" outlineLevel="0" collapsed="false">
      <c r="A56" s="51" t="s">
        <v>65</v>
      </c>
      <c r="B56" s="52"/>
      <c r="C56" s="52"/>
      <c r="D56" s="53" t="s">
        <v>1</v>
      </c>
      <c r="E56" s="53" t="s">
        <v>1</v>
      </c>
      <c r="F56" s="53" t="s">
        <v>66</v>
      </c>
      <c r="G56" s="54"/>
    </row>
    <row r="57" customFormat="false" ht="15" hidden="false" customHeight="false" outlineLevel="0" collapsed="false">
      <c r="A57" s="12" t="str">
        <f aca="false">A2</f>
        <v>HI DIAMONDS PVT. LTD.</v>
      </c>
      <c r="B57" s="12"/>
      <c r="C57" s="12"/>
      <c r="D57" s="12"/>
      <c r="E57" s="12"/>
      <c r="F57" s="12"/>
      <c r="G57" s="12"/>
    </row>
    <row r="58" customFormat="false" ht="15" hidden="false" customHeight="false" outlineLevel="0" collapsed="false">
      <c r="A58" s="12" t="str">
        <f aca="false">+A3</f>
        <v>G-1, DIL PASAND SQUARE , 164, KANCHAN BAG , INDORE </v>
      </c>
      <c r="B58" s="12"/>
      <c r="C58" s="12"/>
      <c r="D58" s="12"/>
      <c r="E58" s="12"/>
      <c r="F58" s="12"/>
      <c r="G58" s="12"/>
    </row>
    <row r="59" customFormat="false" ht="15" hidden="false" customHeight="false" outlineLevel="0" collapsed="false">
      <c r="A59" s="8" t="s">
        <v>67</v>
      </c>
      <c r="B59" s="8"/>
      <c r="C59" s="8"/>
      <c r="D59" s="8"/>
      <c r="E59" s="8"/>
      <c r="F59" s="55" t="str">
        <f aca="false">E4</f>
        <v>31st March, 2025</v>
      </c>
      <c r="G59" s="56"/>
    </row>
    <row r="60" customFormat="false" ht="15" hidden="false" customHeight="false" outlineLevel="0" collapsed="false">
      <c r="A60" s="12" t="str">
        <f aca="false">A5</f>
        <v>CIN U52393MP2010PTC024277</v>
      </c>
      <c r="B60" s="12"/>
      <c r="C60" s="12"/>
      <c r="D60" s="12"/>
      <c r="E60" s="12"/>
      <c r="F60" s="12"/>
      <c r="G60" s="12"/>
    </row>
    <row r="61" customFormat="false" ht="15" hidden="false" customHeight="false" outlineLevel="0" collapsed="false">
      <c r="A61" s="57"/>
      <c r="B61" s="10"/>
      <c r="C61" s="10"/>
      <c r="D61" s="10"/>
      <c r="E61" s="10"/>
      <c r="F61" s="10"/>
      <c r="G61" s="11"/>
    </row>
    <row r="62" customFormat="false" ht="74.25" hidden="false" customHeight="true" outlineLevel="0" collapsed="false">
      <c r="A62" s="7" t="s">
        <v>7</v>
      </c>
      <c r="B62" s="7"/>
      <c r="C62" s="7"/>
      <c r="D62" s="7"/>
      <c r="E62" s="7" t="s">
        <v>8</v>
      </c>
      <c r="F62" s="58" t="str">
        <f aca="false">F6</f>
        <v>Figures as at the end of current reporting period 31-03-2025</v>
      </c>
      <c r="G62" s="58" t="str">
        <f aca="false">G6</f>
        <v>Figures as at the end of current reporting period 31-03-2024</v>
      </c>
    </row>
    <row r="63" s="62" customFormat="true" ht="27" hidden="false" customHeight="true" outlineLevel="0" collapsed="false">
      <c r="A63" s="59"/>
      <c r="B63" s="59"/>
      <c r="C63" s="59"/>
      <c r="D63" s="59"/>
      <c r="E63" s="60"/>
      <c r="F63" s="61" t="str">
        <f aca="false">F7</f>
        <v>Amount (In Rs.)</v>
      </c>
      <c r="G63" s="61" t="str">
        <f aca="false">G7</f>
        <v>Amount (In Rs.)</v>
      </c>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row>
    <row r="64" customFormat="false" ht="15" hidden="false" customHeight="false" outlineLevel="0" collapsed="false">
      <c r="A64" s="29" t="s">
        <v>68</v>
      </c>
      <c r="B64" s="63"/>
      <c r="C64" s="48"/>
      <c r="D64" s="48"/>
      <c r="E64" s="64"/>
      <c r="F64" s="65"/>
      <c r="G64" s="24"/>
    </row>
    <row r="65" customFormat="false" ht="15" hidden="false" customHeight="false" outlineLevel="0" collapsed="false">
      <c r="A65" s="29" t="s">
        <v>69</v>
      </c>
      <c r="B65" s="3"/>
      <c r="C65" s="3"/>
      <c r="D65" s="3"/>
      <c r="E65" s="28"/>
      <c r="F65" s="24"/>
      <c r="G65" s="24"/>
    </row>
    <row r="66" customFormat="false" ht="13.5" hidden="false" customHeight="false" outlineLevel="0" collapsed="false">
      <c r="A66" s="31" t="s">
        <v>70</v>
      </c>
      <c r="B66" s="3"/>
      <c r="C66" s="3"/>
      <c r="D66" s="3"/>
      <c r="E66" s="28" t="n">
        <f aca="false">A448</f>
        <v>19</v>
      </c>
      <c r="F66" s="66" t="n">
        <f aca="false">F457</f>
        <v>39062200</v>
      </c>
      <c r="G66" s="66" t="n">
        <f aca="false">G457</f>
        <v>19617826.61</v>
      </c>
    </row>
    <row r="67" customFormat="false" ht="13.5" hidden="false" customHeight="false" outlineLevel="0" collapsed="false">
      <c r="A67" s="31" t="s">
        <v>71</v>
      </c>
      <c r="B67" s="3"/>
      <c r="C67" s="3"/>
      <c r="D67" s="3"/>
      <c r="E67" s="28" t="n">
        <f aca="false">A476</f>
        <v>20</v>
      </c>
      <c r="F67" s="66" t="n">
        <f aca="false">+F481</f>
        <v>0</v>
      </c>
      <c r="G67" s="66" t="n">
        <f aca="false">+G481</f>
        <v>3079</v>
      </c>
    </row>
    <row r="68" customFormat="false" ht="15" hidden="false" customHeight="false" outlineLevel="0" collapsed="false">
      <c r="A68" s="29" t="s">
        <v>72</v>
      </c>
      <c r="B68" s="3"/>
      <c r="C68" s="3"/>
      <c r="D68" s="3"/>
      <c r="E68" s="28"/>
      <c r="F68" s="67" t="n">
        <f aca="false">SUM(F66:F67)</f>
        <v>39062200</v>
      </c>
      <c r="G68" s="67" t="n">
        <f aca="false">SUM(G66:G67)</f>
        <v>19620905.61</v>
      </c>
    </row>
    <row r="69" customFormat="false" ht="15" hidden="false" customHeight="false" outlineLevel="0" collapsed="false">
      <c r="A69" s="29"/>
      <c r="B69" s="3"/>
      <c r="C69" s="3"/>
      <c r="D69" s="3"/>
      <c r="E69" s="28"/>
      <c r="F69" s="68"/>
      <c r="G69" s="66"/>
    </row>
    <row r="70" customFormat="false" ht="15" hidden="false" customHeight="false" outlineLevel="0" collapsed="false">
      <c r="A70" s="29" t="s">
        <v>73</v>
      </c>
      <c r="B70" s="3"/>
      <c r="C70" s="3"/>
      <c r="D70" s="3"/>
      <c r="E70" s="69" t="s">
        <v>1</v>
      </c>
      <c r="F70" s="66"/>
      <c r="G70" s="66"/>
    </row>
    <row r="71" customFormat="false" ht="13.5" hidden="false" customHeight="false" outlineLevel="0" collapsed="false">
      <c r="A71" s="31" t="s">
        <v>74</v>
      </c>
      <c r="B71" s="3"/>
      <c r="C71" s="3"/>
      <c r="D71" s="3"/>
      <c r="E71" s="28" t="n">
        <f aca="false">A483</f>
        <v>21</v>
      </c>
      <c r="F71" s="66" t="n">
        <f aca="false">F502</f>
        <v>0</v>
      </c>
      <c r="G71" s="66" t="n">
        <f aca="false">G502</f>
        <v>0</v>
      </c>
      <c r="H71" s="6"/>
    </row>
    <row r="72" customFormat="false" ht="18.75" hidden="false" customHeight="true" outlineLevel="0" collapsed="false">
      <c r="A72" s="31" t="s">
        <v>75</v>
      </c>
      <c r="B72" s="3"/>
      <c r="C72" s="3"/>
      <c r="D72" s="3"/>
      <c r="E72" s="28" t="n">
        <f aca="false">A506</f>
        <v>22</v>
      </c>
      <c r="F72" s="66" t="n">
        <f aca="false">+F511</f>
        <v>36146528.33</v>
      </c>
      <c r="G72" s="66" t="n">
        <f aca="false">+G511</f>
        <v>18822738.31</v>
      </c>
    </row>
    <row r="73" customFormat="false" ht="30.75" hidden="false" customHeight="true" outlineLevel="0" collapsed="false">
      <c r="A73" s="70" t="s">
        <v>76</v>
      </c>
      <c r="B73" s="70"/>
      <c r="C73" s="70"/>
      <c r="D73" s="70"/>
      <c r="E73" s="28" t="n">
        <f aca="false">A513</f>
        <v>23</v>
      </c>
      <c r="F73" s="71" t="n">
        <f aca="false">+F530</f>
        <v>-4062000</v>
      </c>
      <c r="G73" s="71" t="n">
        <f aca="false">G530</f>
        <v>-4880450</v>
      </c>
    </row>
    <row r="74" customFormat="false" ht="13.5" hidden="false" customHeight="false" outlineLevel="0" collapsed="false">
      <c r="A74" s="31" t="s">
        <v>77</v>
      </c>
      <c r="B74" s="3"/>
      <c r="C74" s="3"/>
      <c r="D74" s="3"/>
      <c r="E74" s="28" t="n">
        <f aca="false">A532</f>
        <v>24</v>
      </c>
      <c r="F74" s="66" t="n">
        <f aca="false">F537</f>
        <v>1626190</v>
      </c>
      <c r="G74" s="66" t="n">
        <f aca="false">G537</f>
        <v>1555349</v>
      </c>
    </row>
    <row r="75" customFormat="false" ht="13.5" hidden="false" customHeight="false" outlineLevel="0" collapsed="false">
      <c r="A75" s="31" t="s">
        <v>78</v>
      </c>
      <c r="B75" s="3"/>
      <c r="C75" s="3"/>
      <c r="D75" s="3"/>
      <c r="E75" s="28" t="n">
        <f aca="false">A539</f>
        <v>25</v>
      </c>
      <c r="F75" s="66" t="n">
        <f aca="false">+F546</f>
        <v>3556643</v>
      </c>
      <c r="G75" s="66" t="n">
        <f aca="false">+G546</f>
        <v>2098412.55</v>
      </c>
    </row>
    <row r="76" customFormat="false" ht="13.5" hidden="false" customHeight="false" outlineLevel="0" collapsed="false">
      <c r="A76" s="31" t="s">
        <v>79</v>
      </c>
      <c r="B76" s="3"/>
      <c r="C76" s="3"/>
      <c r="D76" s="3"/>
      <c r="E76" s="28" t="n">
        <f aca="false">A548</f>
        <v>26</v>
      </c>
      <c r="F76" s="66" t="n">
        <f aca="false">+F552</f>
        <v>80163.58</v>
      </c>
      <c r="G76" s="66" t="n">
        <f aca="false">+G552</f>
        <v>75518</v>
      </c>
    </row>
    <row r="77" customFormat="false" ht="13.5" hidden="false" customHeight="false" outlineLevel="0" collapsed="false">
      <c r="A77" s="31" t="s">
        <v>80</v>
      </c>
      <c r="B77" s="3"/>
      <c r="C77" s="3"/>
      <c r="D77" s="3"/>
      <c r="E77" s="28" t="n">
        <f aca="false">A554</f>
        <v>27</v>
      </c>
      <c r="F77" s="72" t="n">
        <f aca="false">F591</f>
        <v>1512199.58</v>
      </c>
      <c r="G77" s="72" t="n">
        <f aca="false">G591</f>
        <v>1607439.88</v>
      </c>
    </row>
    <row r="78" customFormat="false" ht="13.5" hidden="false" customHeight="true" outlineLevel="0" collapsed="false">
      <c r="A78" s="29" t="s">
        <v>81</v>
      </c>
      <c r="B78" s="3"/>
      <c r="C78" s="3"/>
      <c r="D78" s="3"/>
      <c r="E78" s="32" t="s">
        <v>1</v>
      </c>
      <c r="F78" s="73" t="n">
        <f aca="false">SUM(F70:F77)</f>
        <v>38859724.49</v>
      </c>
      <c r="G78" s="73" t="n">
        <f aca="false">SUM(G70:G77)</f>
        <v>19279007.74</v>
      </c>
    </row>
    <row r="79" customFormat="false" ht="13.5" hidden="false" customHeight="true" outlineLevel="0" collapsed="false">
      <c r="A79" s="29"/>
      <c r="B79" s="3"/>
      <c r="C79" s="3"/>
      <c r="D79" s="3"/>
      <c r="E79" s="28"/>
      <c r="F79" s="66"/>
      <c r="G79" s="74"/>
    </row>
    <row r="80" customFormat="false" ht="13.5" hidden="false" customHeight="true" outlineLevel="0" collapsed="false">
      <c r="A80" s="29" t="s">
        <v>82</v>
      </c>
      <c r="B80" s="3"/>
      <c r="C80" s="3"/>
      <c r="D80" s="3"/>
      <c r="E80" s="28"/>
      <c r="F80" s="66" t="n">
        <f aca="false">+F68-F78</f>
        <v>202475.510000005</v>
      </c>
      <c r="G80" s="66" t="n">
        <f aca="false">+G68-G78</f>
        <v>341897.870000001</v>
      </c>
    </row>
    <row r="81" customFormat="false" ht="13.5" hidden="false" customHeight="true" outlineLevel="0" collapsed="false">
      <c r="A81" s="75" t="s">
        <v>83</v>
      </c>
      <c r="B81" s="76"/>
      <c r="C81" s="76"/>
      <c r="D81" s="76"/>
      <c r="E81" s="76"/>
      <c r="F81" s="29"/>
      <c r="G81" s="29"/>
    </row>
    <row r="82" customFormat="false" ht="13.5" hidden="false" customHeight="true" outlineLevel="0" collapsed="false">
      <c r="A82" s="75" t="s">
        <v>84</v>
      </c>
      <c r="B82" s="76"/>
      <c r="C82" s="76"/>
      <c r="D82" s="76"/>
      <c r="E82" s="76"/>
      <c r="F82" s="66" t="n">
        <f aca="false">+F80+F81</f>
        <v>202475.510000005</v>
      </c>
      <c r="G82" s="66" t="n">
        <f aca="false">+G80+G81</f>
        <v>341897.870000001</v>
      </c>
    </row>
    <row r="83" customFormat="false" ht="13.5" hidden="false" customHeight="true" outlineLevel="0" collapsed="false">
      <c r="A83" s="75" t="s">
        <v>85</v>
      </c>
      <c r="B83" s="76"/>
      <c r="C83" s="76"/>
      <c r="D83" s="76"/>
      <c r="E83" s="76"/>
      <c r="F83" s="77" t="n">
        <v>0</v>
      </c>
      <c r="G83" s="77" t="n">
        <v>0</v>
      </c>
    </row>
    <row r="84" customFormat="false" ht="13.5" hidden="false" customHeight="true" outlineLevel="0" collapsed="false">
      <c r="A84" s="75" t="s">
        <v>86</v>
      </c>
      <c r="B84" s="76"/>
      <c r="C84" s="76"/>
      <c r="D84" s="76"/>
      <c r="E84" s="76"/>
      <c r="F84" s="66" t="n">
        <f aca="false">+F82-F83</f>
        <v>202475.510000005</v>
      </c>
      <c r="G84" s="66" t="n">
        <f aca="false">+G82-G83</f>
        <v>341897.870000001</v>
      </c>
    </row>
    <row r="85" customFormat="false" ht="13.5" hidden="false" customHeight="true" outlineLevel="0" collapsed="false">
      <c r="A85" s="75" t="s">
        <v>87</v>
      </c>
      <c r="B85" s="76"/>
      <c r="C85" s="76"/>
      <c r="D85" s="76"/>
      <c r="E85" s="76"/>
      <c r="F85" s="77" t="n">
        <v>0</v>
      </c>
      <c r="G85" s="74" t="n">
        <v>0</v>
      </c>
      <c r="H85" s="3" t="n">
        <f aca="false">+F543</f>
        <v>47546</v>
      </c>
    </row>
    <row r="86" customFormat="false" ht="15" hidden="false" customHeight="false" outlineLevel="0" collapsed="false">
      <c r="A86" s="29" t="s">
        <v>88</v>
      </c>
      <c r="B86" s="3"/>
      <c r="C86" s="3"/>
      <c r="D86" s="3"/>
      <c r="E86" s="28"/>
      <c r="F86" s="66" t="n">
        <f aca="false">+F84-F85</f>
        <v>202475.510000005</v>
      </c>
      <c r="G86" s="66" t="n">
        <f aca="false">+G84-G85</f>
        <v>341897.870000001</v>
      </c>
      <c r="H86" s="3" t="n">
        <f aca="false">+F76</f>
        <v>80163.58</v>
      </c>
    </row>
    <row r="87" customFormat="false" ht="15" hidden="false" customHeight="false" outlineLevel="0" collapsed="false">
      <c r="A87" s="29" t="s">
        <v>89</v>
      </c>
      <c r="B87" s="3"/>
      <c r="C87" s="3"/>
      <c r="D87" s="3"/>
      <c r="E87" s="28"/>
      <c r="F87" s="66"/>
      <c r="G87" s="74"/>
      <c r="H87" s="3" t="n">
        <v>-332317</v>
      </c>
    </row>
    <row r="88" customFormat="false" ht="15" hidden="false" customHeight="false" outlineLevel="0" collapsed="false">
      <c r="A88" s="29" t="s">
        <v>90</v>
      </c>
      <c r="B88" s="3"/>
      <c r="C88" s="3"/>
      <c r="D88" s="3"/>
      <c r="E88" s="28" t="n">
        <f aca="false">E77+1</f>
        <v>28</v>
      </c>
      <c r="F88" s="66" t="n">
        <f aca="false">+F597</f>
        <v>32000</v>
      </c>
      <c r="G88" s="66" t="n">
        <f aca="false">G597</f>
        <v>55000</v>
      </c>
      <c r="H88" s="3" t="n">
        <f aca="false">SUM(H85:H87)</f>
        <v>-204607.42</v>
      </c>
    </row>
    <row r="89" customFormat="false" ht="15" hidden="false" customHeight="false" outlineLevel="0" collapsed="false">
      <c r="A89" s="29" t="s">
        <v>91</v>
      </c>
      <c r="B89" s="3"/>
      <c r="C89" s="3"/>
      <c r="D89" s="3"/>
      <c r="E89" s="28"/>
      <c r="F89" s="72" t="n">
        <v>0</v>
      </c>
      <c r="G89" s="72"/>
      <c r="H89" s="3" t="n">
        <v>-1300000</v>
      </c>
    </row>
    <row r="90" customFormat="false" ht="15" hidden="false" customHeight="false" outlineLevel="0" collapsed="false">
      <c r="A90" s="29" t="s">
        <v>92</v>
      </c>
      <c r="B90" s="3"/>
      <c r="C90" s="3"/>
      <c r="D90" s="3"/>
      <c r="E90" s="28"/>
      <c r="F90" s="72" t="n">
        <f aca="false">+F86-F88-F89</f>
        <v>170475.510000005</v>
      </c>
      <c r="G90" s="72" t="n">
        <f aca="false">+G86-G88-G89</f>
        <v>286897.870000001</v>
      </c>
      <c r="H90" s="3" t="n">
        <f aca="false">+F84*0.155</f>
        <v>31383.7040500008</v>
      </c>
    </row>
    <row r="91" customFormat="false" ht="15" hidden="false" customHeight="false" outlineLevel="0" collapsed="false">
      <c r="A91" s="29"/>
      <c r="B91" s="3"/>
      <c r="C91" s="3"/>
      <c r="D91" s="3"/>
      <c r="E91" s="28"/>
      <c r="F91" s="22"/>
      <c r="G91" s="37"/>
      <c r="H91" s="3" t="n">
        <f aca="false">+H90*0.04</f>
        <v>1255.34816200003</v>
      </c>
    </row>
    <row r="92" customFormat="false" ht="15" hidden="false" customHeight="false" outlineLevel="0" collapsed="false">
      <c r="A92" s="29" t="s">
        <v>93</v>
      </c>
      <c r="B92" s="3"/>
      <c r="C92" s="3"/>
      <c r="D92" s="3"/>
      <c r="E92" s="28" t="n">
        <f aca="false">+E88+1</f>
        <v>29</v>
      </c>
      <c r="F92" s="24"/>
      <c r="G92" s="37"/>
      <c r="H92" s="3" t="n">
        <f aca="false">+H90+H91</f>
        <v>32639.0522120009</v>
      </c>
    </row>
    <row r="93" customFormat="false" ht="15" hidden="false" customHeight="false" outlineLevel="0" collapsed="false">
      <c r="A93" s="29" t="s">
        <v>94</v>
      </c>
      <c r="B93" s="3"/>
      <c r="C93" s="3"/>
      <c r="D93" s="3"/>
      <c r="E93" s="28"/>
      <c r="F93" s="78" t="n">
        <f aca="false">+F605</f>
        <v>0.568251700000018</v>
      </c>
      <c r="G93" s="78" t="n">
        <f aca="false">+G605</f>
        <v>0.956326233333337</v>
      </c>
    </row>
    <row r="94" customFormat="false" ht="15" hidden="false" customHeight="false" outlineLevel="0" collapsed="false">
      <c r="A94" s="29" t="s">
        <v>95</v>
      </c>
      <c r="B94" s="3"/>
      <c r="C94" s="3"/>
      <c r="D94" s="3"/>
      <c r="E94" s="28"/>
      <c r="F94" s="78" t="n">
        <f aca="false">+F610</f>
        <v>0.568251700000018</v>
      </c>
      <c r="G94" s="78" t="n">
        <f aca="false">+G610</f>
        <v>0.956326233333337</v>
      </c>
    </row>
    <row r="95" customFormat="false" ht="15" hidden="false" customHeight="false" outlineLevel="0" collapsed="false">
      <c r="A95" s="51"/>
      <c r="B95" s="79"/>
      <c r="C95" s="79"/>
      <c r="D95" s="79"/>
      <c r="E95" s="80"/>
      <c r="F95" s="81"/>
      <c r="G95" s="54"/>
    </row>
    <row r="96" customFormat="false" ht="15" hidden="false" customHeight="false" outlineLevel="0" collapsed="false">
      <c r="A96" s="29"/>
      <c r="B96" s="3"/>
      <c r="C96" s="3"/>
      <c r="D96" s="3"/>
      <c r="E96" s="28"/>
      <c r="F96" s="3"/>
      <c r="G96" s="37"/>
    </row>
    <row r="97" customFormat="false" ht="12.75" hidden="false" customHeight="true" outlineLevel="0" collapsed="false">
      <c r="A97" s="29" t="str">
        <f aca="false">A47</f>
        <v>See acompanying notes to the financial statements.</v>
      </c>
      <c r="B97" s="3"/>
      <c r="C97" s="3"/>
      <c r="D97" s="3"/>
      <c r="E97" s="3"/>
      <c r="F97" s="46" t="str">
        <f aca="false">F47</f>
        <v>As per our report of even date</v>
      </c>
      <c r="G97" s="37"/>
    </row>
    <row r="98" customFormat="false" ht="15" hidden="false" customHeight="false" outlineLevel="0" collapsed="false">
      <c r="A98" s="29"/>
      <c r="B98" s="76"/>
      <c r="C98" s="76"/>
      <c r="D98" s="3"/>
      <c r="E98" s="3"/>
      <c r="F98" s="46" t="str">
        <f aca="false">F48</f>
        <v>For DILIP RATHOR AND CO.</v>
      </c>
      <c r="G98" s="37"/>
    </row>
    <row r="99" customFormat="false" ht="15" hidden="false" customHeight="false" outlineLevel="0" collapsed="false">
      <c r="A99" s="29" t="str">
        <f aca="false">A49</f>
        <v>For and on behalf of  the Board of Directors of  the Company.</v>
      </c>
      <c r="B99" s="48"/>
      <c r="C99" s="48"/>
      <c r="D99" s="48"/>
      <c r="E99" s="48"/>
      <c r="F99" s="46" t="str">
        <f aca="false">F49</f>
        <v>Chartered Accountants</v>
      </c>
      <c r="G99" s="37"/>
    </row>
    <row r="100" customFormat="false" ht="15" hidden="false" customHeight="false" outlineLevel="0" collapsed="false">
      <c r="A100" s="29"/>
      <c r="B100" s="48"/>
      <c r="C100" s="48"/>
      <c r="D100" s="48"/>
      <c r="E100" s="48"/>
      <c r="F100" s="46" t="str">
        <f aca="false">+F50</f>
        <v>Firm Reg. No.  : 011691 C</v>
      </c>
      <c r="G100" s="37"/>
    </row>
    <row r="101" customFormat="false" ht="15" hidden="false" customHeight="false" outlineLevel="0" collapsed="false">
      <c r="A101" s="29"/>
      <c r="B101" s="48"/>
      <c r="C101" s="48"/>
      <c r="D101" s="48"/>
      <c r="E101" s="48"/>
      <c r="F101" s="46"/>
      <c r="G101" s="37"/>
    </row>
    <row r="102" customFormat="false" ht="15" hidden="false" customHeight="false" outlineLevel="0" collapsed="false">
      <c r="A102" s="29"/>
      <c r="B102" s="48"/>
      <c r="C102" s="48"/>
      <c r="D102" s="48"/>
      <c r="E102" s="48"/>
      <c r="F102" s="46"/>
      <c r="G102" s="37"/>
    </row>
    <row r="103" customFormat="false" ht="15" hidden="false" customHeight="false" outlineLevel="0" collapsed="false">
      <c r="A103" s="29" t="str">
        <f aca="false">+A52</f>
        <v>Shri Harshvardhan Bhatia</v>
      </c>
      <c r="B103" s="48"/>
      <c r="C103" s="48" t="str">
        <f aca="false">+C52</f>
        <v>SMT Padmini Bhatia</v>
      </c>
      <c r="D103" s="48"/>
      <c r="E103" s="48"/>
      <c r="F103" s="48" t="str">
        <f aca="false">+F53</f>
        <v>DILIP RATHOR</v>
      </c>
      <c r="G103" s="37"/>
    </row>
    <row r="104" customFormat="false" ht="15" hidden="false" customHeight="false" outlineLevel="0" collapsed="false">
      <c r="A104" s="29" t="str">
        <f aca="false">+A53</f>
        <v>(DIRECTOR)</v>
      </c>
      <c r="B104" s="48"/>
      <c r="C104" s="48" t="str">
        <f aca="false">+C53</f>
        <v>(DIRECTOR)</v>
      </c>
      <c r="D104" s="48"/>
      <c r="E104" s="48"/>
      <c r="F104" s="48" t="str">
        <f aca="false">+F54</f>
        <v>(PROPRIETOR)</v>
      </c>
      <c r="G104" s="37"/>
    </row>
    <row r="105" customFormat="false" ht="15" hidden="false" customHeight="false" outlineLevel="0" collapsed="false">
      <c r="A105" s="29" t="str">
        <f aca="false">+A54</f>
        <v>(DIN : 03136236)</v>
      </c>
      <c r="B105" s="48"/>
      <c r="C105" s="48" t="str">
        <f aca="false">+C54</f>
        <v>(DIN : 03136241)</v>
      </c>
      <c r="D105" s="48"/>
      <c r="E105" s="48"/>
      <c r="F105" s="46"/>
      <c r="G105" s="37"/>
    </row>
    <row r="106" customFormat="false" ht="15" hidden="false" customHeight="false" outlineLevel="0" collapsed="false">
      <c r="A106" s="29" t="str">
        <f aca="false">A55</f>
        <v>Place:</v>
      </c>
      <c r="B106" s="76" t="str">
        <f aca="false">B55</f>
        <v>Indore</v>
      </c>
      <c r="C106" s="76"/>
      <c r="D106" s="48" t="str">
        <f aca="false">D56</f>
        <v> </v>
      </c>
      <c r="E106" s="48" t="str">
        <f aca="false">E56</f>
        <v> </v>
      </c>
      <c r="F106" s="48" t="str">
        <f aca="false">F55</f>
        <v>M.No.  077973</v>
      </c>
      <c r="G106" s="37"/>
    </row>
    <row r="107" customFormat="false" ht="15" hidden="false" customHeight="false" outlineLevel="0" collapsed="false">
      <c r="A107" s="51" t="str">
        <f aca="false">A56</f>
        <v>Date: 07/09/2025</v>
      </c>
      <c r="B107" s="82"/>
      <c r="C107" s="82"/>
      <c r="D107" s="53"/>
      <c r="E107" s="53" t="s">
        <v>1</v>
      </c>
      <c r="F107" s="53" t="str">
        <f aca="false">F56</f>
        <v>UDIN:  25077973BMLATD4385</v>
      </c>
      <c r="G107" s="54"/>
    </row>
    <row r="108" customFormat="false" ht="15" hidden="false" customHeight="false" outlineLevel="0" collapsed="false">
      <c r="A108" s="83" t="str">
        <f aca="false">A2</f>
        <v>HI DIAMONDS PVT. LTD.</v>
      </c>
      <c r="B108" s="83"/>
      <c r="C108" s="83"/>
      <c r="D108" s="83"/>
      <c r="E108" s="83"/>
      <c r="F108" s="83"/>
      <c r="G108" s="83"/>
    </row>
    <row r="109" customFormat="false" ht="15" hidden="false" customHeight="false" outlineLevel="0" collapsed="false">
      <c r="A109" s="12" t="str">
        <f aca="false">+A58</f>
        <v>G-1, DIL PASAND SQUARE , 164, KANCHAN BAG , INDORE </v>
      </c>
      <c r="B109" s="12"/>
      <c r="C109" s="12"/>
      <c r="D109" s="12"/>
      <c r="E109" s="12"/>
      <c r="F109" s="12"/>
      <c r="G109" s="12"/>
    </row>
    <row r="110" customFormat="false" ht="15" hidden="false" customHeight="false" outlineLevel="0" collapsed="false">
      <c r="A110" s="8" t="s">
        <v>96</v>
      </c>
      <c r="B110" s="8"/>
      <c r="C110" s="8"/>
      <c r="D110" s="8"/>
      <c r="E110" s="8"/>
      <c r="F110" s="84" t="str">
        <f aca="false">F59</f>
        <v>31st March, 2025</v>
      </c>
      <c r="G110" s="85"/>
    </row>
    <row r="111" customFormat="false" ht="15" hidden="false" customHeight="false" outlineLevel="0" collapsed="false">
      <c r="A111" s="83" t="str">
        <f aca="false">A5</f>
        <v>CIN U52393MP2010PTC024277</v>
      </c>
      <c r="B111" s="83"/>
      <c r="C111" s="83"/>
      <c r="D111" s="83"/>
      <c r="E111" s="83"/>
      <c r="F111" s="83"/>
      <c r="G111" s="83"/>
    </row>
    <row r="112" customFormat="false" ht="38.25" hidden="false" customHeight="true" outlineLevel="0" collapsed="false">
      <c r="A112" s="4"/>
      <c r="B112" s="5"/>
      <c r="C112" s="5"/>
      <c r="D112" s="5"/>
      <c r="E112" s="5"/>
      <c r="F112" s="58" t="str">
        <f aca="false">F6</f>
        <v>Figures as at the end of current reporting period 31-03-2025</v>
      </c>
      <c r="G112" s="58" t="str">
        <f aca="false">G6</f>
        <v>Figures as at the end of current reporting period 31-03-2024</v>
      </c>
    </row>
    <row r="113" customFormat="false" ht="15" hidden="false" customHeight="false" outlineLevel="0" collapsed="false">
      <c r="A113" s="86"/>
      <c r="B113" s="87"/>
      <c r="C113" s="87"/>
      <c r="D113" s="87"/>
      <c r="E113" s="87"/>
      <c r="F113" s="88" t="s">
        <v>97</v>
      </c>
      <c r="G113" s="88" t="s">
        <v>97</v>
      </c>
    </row>
    <row r="114" customFormat="false" ht="15" hidden="false" customHeight="false" outlineLevel="0" collapsed="false">
      <c r="A114" s="29" t="s">
        <v>98</v>
      </c>
      <c r="B114" s="63"/>
      <c r="C114" s="48"/>
      <c r="D114" s="48"/>
      <c r="E114" s="48"/>
      <c r="F114" s="89"/>
      <c r="G114" s="37"/>
    </row>
    <row r="115" customFormat="false" ht="15" hidden="false" customHeight="false" outlineLevel="0" collapsed="false">
      <c r="A115" s="29"/>
      <c r="B115" s="3" t="s">
        <v>99</v>
      </c>
      <c r="C115" s="3"/>
      <c r="D115" s="3"/>
      <c r="E115" s="3"/>
      <c r="F115" s="66" t="n">
        <f aca="false">F86</f>
        <v>202475.510000005</v>
      </c>
      <c r="G115" s="66" t="n">
        <f aca="false">G86</f>
        <v>341897.870000001</v>
      </c>
    </row>
    <row r="116" customFormat="false" ht="15" hidden="false" customHeight="false" outlineLevel="0" collapsed="false">
      <c r="A116" s="29"/>
      <c r="B116" s="90" t="s">
        <v>100</v>
      </c>
      <c r="C116" s="90"/>
      <c r="D116" s="90"/>
      <c r="E116" s="90"/>
      <c r="F116" s="24"/>
      <c r="G116" s="37"/>
    </row>
    <row r="117" customFormat="false" ht="15" hidden="false" customHeight="false" outlineLevel="0" collapsed="false">
      <c r="A117" s="29"/>
      <c r="B117" s="3" t="s">
        <v>101</v>
      </c>
      <c r="C117" s="3"/>
      <c r="D117" s="3"/>
      <c r="E117" s="3"/>
      <c r="F117" s="24" t="n">
        <f aca="false">F76</f>
        <v>80163.58</v>
      </c>
      <c r="G117" s="37" t="n">
        <f aca="false">G76</f>
        <v>75518</v>
      </c>
    </row>
    <row r="118" customFormat="false" ht="15" hidden="false" customHeight="false" outlineLevel="0" collapsed="false">
      <c r="A118" s="29"/>
      <c r="B118" s="3" t="s">
        <v>102</v>
      </c>
      <c r="C118" s="3"/>
      <c r="D118" s="3"/>
      <c r="E118" s="3"/>
      <c r="F118" s="91" t="n">
        <v>0</v>
      </c>
      <c r="G118" s="66" t="n">
        <v>0</v>
      </c>
    </row>
    <row r="119" customFormat="false" ht="15" hidden="false" customHeight="false" outlineLevel="0" collapsed="false">
      <c r="A119" s="29"/>
      <c r="B119" s="3" t="s">
        <v>103</v>
      </c>
      <c r="C119" s="3"/>
      <c r="D119" s="3"/>
      <c r="E119" s="3"/>
      <c r="F119" s="24" t="n">
        <f aca="false">F75</f>
        <v>3556643</v>
      </c>
      <c r="G119" s="37" t="n">
        <f aca="false">G75</f>
        <v>2098412.55</v>
      </c>
    </row>
    <row r="120" customFormat="false" ht="15" hidden="false" customHeight="false" outlineLevel="0" collapsed="false">
      <c r="A120" s="29"/>
      <c r="B120" s="3" t="s">
        <v>104</v>
      </c>
      <c r="C120" s="3"/>
      <c r="D120" s="3"/>
      <c r="E120" s="3"/>
      <c r="F120" s="66" t="n">
        <v>0</v>
      </c>
      <c r="G120" s="66" t="n">
        <v>0</v>
      </c>
    </row>
    <row r="121" customFormat="false" ht="15" hidden="false" customHeight="false" outlineLevel="0" collapsed="false">
      <c r="A121" s="29"/>
      <c r="B121" s="3" t="s">
        <v>105</v>
      </c>
      <c r="C121" s="3"/>
      <c r="D121" s="3"/>
      <c r="E121" s="3"/>
      <c r="F121" s="66"/>
      <c r="G121" s="66"/>
    </row>
    <row r="122" customFormat="false" ht="15" hidden="false" customHeight="false" outlineLevel="0" collapsed="false">
      <c r="A122" s="29"/>
      <c r="B122" s="3" t="s">
        <v>106</v>
      </c>
      <c r="C122" s="3"/>
      <c r="D122" s="3"/>
      <c r="E122" s="3"/>
      <c r="F122" s="92" t="n">
        <f aca="false">+SUM(F115:F121)</f>
        <v>3839282.09000001</v>
      </c>
      <c r="G122" s="92" t="n">
        <f aca="false">+SUM(G115:G121)</f>
        <v>2515828.42</v>
      </c>
    </row>
    <row r="123" customFormat="false" ht="15" hidden="false" customHeight="false" outlineLevel="0" collapsed="false">
      <c r="A123" s="29"/>
      <c r="B123" s="90" t="s">
        <v>107</v>
      </c>
      <c r="C123" s="90"/>
      <c r="D123" s="3"/>
      <c r="E123" s="3"/>
      <c r="F123" s="40"/>
      <c r="G123" s="24"/>
    </row>
    <row r="124" customFormat="false" ht="15" hidden="false" customHeight="false" outlineLevel="0" collapsed="false">
      <c r="A124" s="29"/>
      <c r="B124" s="3" t="s">
        <v>108</v>
      </c>
      <c r="C124" s="3"/>
      <c r="D124" s="3"/>
      <c r="E124" s="3"/>
      <c r="F124" s="66" t="n">
        <f aca="false">(F24+F25)-(G24+G25)</f>
        <v>-1309230.69</v>
      </c>
      <c r="G124" s="66" t="n">
        <v>845557.2</v>
      </c>
    </row>
    <row r="125" customFormat="false" ht="15" hidden="false" customHeight="false" outlineLevel="0" collapsed="false">
      <c r="A125" s="29"/>
      <c r="B125" s="3" t="s">
        <v>109</v>
      </c>
      <c r="C125" s="3"/>
      <c r="D125" s="3"/>
      <c r="E125" s="3"/>
      <c r="F125" s="66" t="n">
        <f aca="false">F26-G26</f>
        <v>950572.71</v>
      </c>
      <c r="G125" s="66" t="n">
        <v>434352</v>
      </c>
    </row>
    <row r="126" customFormat="false" ht="15" hidden="false" customHeight="false" outlineLevel="0" collapsed="false">
      <c r="A126" s="29"/>
      <c r="B126" s="3" t="s">
        <v>110</v>
      </c>
      <c r="C126" s="3"/>
      <c r="D126" s="3"/>
      <c r="E126" s="3"/>
      <c r="F126" s="66" t="n">
        <f aca="false">+F22-G22</f>
        <v>-97900.29</v>
      </c>
      <c r="G126" s="66" t="n">
        <v>81723.29</v>
      </c>
    </row>
    <row r="127" customFormat="false" ht="15" hidden="false" customHeight="false" outlineLevel="0" collapsed="false">
      <c r="A127" s="29"/>
      <c r="B127" s="3" t="s">
        <v>111</v>
      </c>
      <c r="C127" s="3"/>
      <c r="D127" s="3"/>
      <c r="E127" s="3"/>
      <c r="F127" s="66" t="n">
        <f aca="false">+F27-G27</f>
        <v>-34901</v>
      </c>
      <c r="G127" s="66" t="n">
        <v>-15420</v>
      </c>
    </row>
    <row r="128" customFormat="false" ht="15" hidden="false" customHeight="false" outlineLevel="0" collapsed="false">
      <c r="A128" s="29"/>
      <c r="B128" s="3" t="s">
        <v>112</v>
      </c>
      <c r="C128" s="3"/>
      <c r="D128" s="3"/>
      <c r="E128" s="3"/>
      <c r="F128" s="66" t="n">
        <f aca="false">G35-F35</f>
        <v>0</v>
      </c>
      <c r="G128" s="66" t="n">
        <v>0</v>
      </c>
    </row>
    <row r="129" customFormat="false" ht="15" hidden="false" customHeight="false" outlineLevel="0" collapsed="false">
      <c r="A129" s="29"/>
      <c r="B129" s="3" t="s">
        <v>113</v>
      </c>
      <c r="C129" s="3"/>
      <c r="D129" s="3"/>
      <c r="E129" s="3"/>
      <c r="F129" s="66" t="n">
        <f aca="false">+G39-F39</f>
        <v>-4062000</v>
      </c>
      <c r="G129" s="66" t="n">
        <v>-4880450</v>
      </c>
    </row>
    <row r="130" customFormat="false" ht="15" hidden="false" customHeight="false" outlineLevel="0" collapsed="false">
      <c r="A130" s="29"/>
      <c r="B130" s="3" t="s">
        <v>114</v>
      </c>
      <c r="C130" s="3"/>
      <c r="D130" s="3"/>
      <c r="E130" s="3"/>
      <c r="F130" s="66" t="n">
        <v>0</v>
      </c>
      <c r="G130" s="66" t="n">
        <v>0</v>
      </c>
    </row>
    <row r="131" customFormat="false" ht="15" hidden="false" customHeight="false" outlineLevel="0" collapsed="false">
      <c r="A131" s="29"/>
      <c r="B131" s="3" t="s">
        <v>115</v>
      </c>
      <c r="C131" s="3"/>
      <c r="D131" s="3"/>
      <c r="E131" s="3"/>
      <c r="F131" s="66" t="n">
        <f aca="false">+G40-F40</f>
        <v>54450</v>
      </c>
      <c r="G131" s="66" t="n">
        <v>-54450</v>
      </c>
    </row>
    <row r="132" customFormat="false" ht="15" hidden="false" customHeight="false" outlineLevel="0" collapsed="false">
      <c r="A132" s="29"/>
      <c r="B132" s="3" t="s">
        <v>116</v>
      </c>
      <c r="C132" s="3"/>
      <c r="D132" s="3"/>
      <c r="E132" s="3"/>
      <c r="F132" s="66" t="n">
        <v>0</v>
      </c>
      <c r="G132" s="66" t="n">
        <v>0</v>
      </c>
    </row>
    <row r="133" customFormat="false" ht="15" hidden="false" customHeight="false" outlineLevel="0" collapsed="false">
      <c r="A133" s="29"/>
      <c r="B133" s="3" t="s">
        <v>117</v>
      </c>
      <c r="C133" s="3"/>
      <c r="D133" s="3"/>
      <c r="E133" s="3"/>
      <c r="F133" s="66" t="n">
        <f aca="false">+G44-F44</f>
        <v>-43821.5900000001</v>
      </c>
      <c r="G133" s="66" t="n">
        <v>314687.77</v>
      </c>
    </row>
    <row r="134" customFormat="false" ht="15" hidden="false" customHeight="false" outlineLevel="0" collapsed="false">
      <c r="A134" s="29"/>
      <c r="B134" s="3" t="s">
        <v>118</v>
      </c>
      <c r="C134" s="3"/>
      <c r="D134" s="3"/>
      <c r="E134" s="37"/>
      <c r="F134" s="93" t="n">
        <f aca="false">+SUM(F122:F133)</f>
        <v>-703548.769999995</v>
      </c>
      <c r="G134" s="93" t="n">
        <f aca="false">+SUM(G122:G133)</f>
        <v>-758171.319999999</v>
      </c>
    </row>
    <row r="135" customFormat="false" ht="15" hidden="false" customHeight="false" outlineLevel="0" collapsed="false">
      <c r="A135" s="29"/>
      <c r="B135" s="3" t="s">
        <v>119</v>
      </c>
      <c r="C135" s="3"/>
      <c r="D135" s="3"/>
      <c r="E135" s="37"/>
      <c r="F135" s="66" t="n">
        <f aca="false">-F88</f>
        <v>-32000</v>
      </c>
      <c r="G135" s="66" t="n">
        <f aca="false">-G88</f>
        <v>-55000</v>
      </c>
    </row>
    <row r="136" customFormat="false" ht="15" hidden="false" customHeight="false" outlineLevel="0" collapsed="false">
      <c r="A136" s="29"/>
      <c r="B136" s="3" t="s">
        <v>120</v>
      </c>
      <c r="C136" s="3"/>
      <c r="D136" s="3"/>
      <c r="E136" s="37"/>
      <c r="F136" s="30" t="n">
        <f aca="false">+F134+F135</f>
        <v>-735548.769999995</v>
      </c>
      <c r="G136" s="30" t="n">
        <f aca="false">+G134+G135</f>
        <v>-813171.319999999</v>
      </c>
    </row>
    <row r="137" customFormat="false" ht="15" hidden="false" customHeight="false" outlineLevel="0" collapsed="false">
      <c r="A137" s="29" t="s">
        <v>121</v>
      </c>
      <c r="B137" s="63"/>
      <c r="C137" s="48"/>
      <c r="D137" s="48"/>
      <c r="E137" s="94"/>
      <c r="F137" s="89"/>
      <c r="G137" s="37"/>
    </row>
    <row r="138" customFormat="false" ht="15" hidden="false" customHeight="false" outlineLevel="0" collapsed="false">
      <c r="A138" s="29"/>
      <c r="B138" s="3" t="s">
        <v>122</v>
      </c>
      <c r="C138" s="3"/>
      <c r="D138" s="3"/>
      <c r="E138" s="37"/>
      <c r="F138" s="66" t="n">
        <f aca="false">-'Dep. SCH'!D26</f>
        <v>-14067.8</v>
      </c>
      <c r="G138" s="66" t="n">
        <v>-92502.75</v>
      </c>
    </row>
    <row r="139" customFormat="false" ht="15" hidden="false" customHeight="false" outlineLevel="0" collapsed="false">
      <c r="A139" s="29"/>
      <c r="B139" s="95" t="s">
        <v>123</v>
      </c>
      <c r="C139" s="3"/>
      <c r="D139" s="3"/>
      <c r="E139" s="37"/>
      <c r="F139" s="66" t="n">
        <f aca="false">+G36-F36</f>
        <v>1214</v>
      </c>
      <c r="G139" s="66" t="n">
        <v>-9996</v>
      </c>
    </row>
    <row r="140" customFormat="false" ht="15" hidden="false" customHeight="false" outlineLevel="0" collapsed="false">
      <c r="A140" s="29"/>
      <c r="B140" s="95" t="s">
        <v>124</v>
      </c>
      <c r="C140" s="3"/>
      <c r="D140" s="3"/>
      <c r="E140" s="37"/>
      <c r="F140" s="66"/>
      <c r="G140" s="66"/>
    </row>
    <row r="141" customFormat="false" ht="15" hidden="false" customHeight="false" outlineLevel="0" collapsed="false">
      <c r="A141" s="29"/>
      <c r="B141" s="95" t="s">
        <v>125</v>
      </c>
      <c r="C141" s="3"/>
      <c r="D141" s="3"/>
      <c r="E141" s="37"/>
      <c r="F141" s="66" t="n">
        <f aca="false">-F120</f>
        <v>-0</v>
      </c>
      <c r="G141" s="66" t="n">
        <v>0</v>
      </c>
    </row>
    <row r="142" customFormat="false" ht="25.5" hidden="false" customHeight="true" outlineLevel="0" collapsed="false">
      <c r="A142" s="29"/>
      <c r="B142" s="96" t="s">
        <v>126</v>
      </c>
      <c r="C142" s="96"/>
      <c r="D142" s="96"/>
      <c r="E142" s="96"/>
      <c r="F142" s="24"/>
      <c r="G142" s="24"/>
    </row>
    <row r="143" customFormat="false" ht="15" hidden="false" customHeight="false" outlineLevel="0" collapsed="false">
      <c r="A143" s="29"/>
      <c r="B143" s="3" t="s">
        <v>127</v>
      </c>
      <c r="C143" s="3"/>
      <c r="D143" s="3"/>
      <c r="E143" s="37"/>
      <c r="F143" s="24" t="n">
        <f aca="false">-F121</f>
        <v>-0</v>
      </c>
      <c r="G143" s="24" t="n">
        <v>0</v>
      </c>
    </row>
    <row r="144" customFormat="false" ht="15" hidden="false" customHeight="false" outlineLevel="0" collapsed="false">
      <c r="A144" s="29"/>
      <c r="B144" s="3" t="s">
        <v>128</v>
      </c>
      <c r="C144" s="3"/>
      <c r="D144" s="3"/>
      <c r="E144" s="37"/>
      <c r="F144" s="67" t="n">
        <f aca="false">SUM(F138:F143)</f>
        <v>-12853.8</v>
      </c>
      <c r="G144" s="67" t="n">
        <f aca="false">SUM(G138:G143)</f>
        <v>-102498.75</v>
      </c>
    </row>
    <row r="145" customFormat="false" ht="15" hidden="false" customHeight="false" outlineLevel="0" collapsed="false">
      <c r="A145" s="29" t="s">
        <v>129</v>
      </c>
      <c r="B145" s="63"/>
      <c r="C145" s="48"/>
      <c r="D145" s="48"/>
      <c r="E145" s="48"/>
      <c r="F145" s="89"/>
      <c r="G145" s="37"/>
    </row>
    <row r="146" customFormat="false" ht="15" hidden="false" customHeight="false" outlineLevel="0" collapsed="false">
      <c r="A146" s="29"/>
      <c r="B146" s="3" t="s">
        <v>130</v>
      </c>
      <c r="C146" s="3"/>
      <c r="D146" s="3"/>
      <c r="E146" s="3"/>
      <c r="F146" s="66" t="n">
        <v>0</v>
      </c>
      <c r="G146" s="37" t="n">
        <v>0</v>
      </c>
    </row>
    <row r="147" customFormat="false" ht="15" hidden="false" customHeight="false" outlineLevel="0" collapsed="false">
      <c r="A147" s="29"/>
      <c r="B147" s="3" t="s">
        <v>131</v>
      </c>
      <c r="C147" s="3"/>
      <c r="D147" s="3"/>
      <c r="E147" s="3"/>
      <c r="F147" s="66" t="n">
        <v>0</v>
      </c>
      <c r="G147" s="37" t="n">
        <v>0</v>
      </c>
    </row>
    <row r="148" customFormat="false" ht="15" hidden="false" customHeight="false" outlineLevel="0" collapsed="false">
      <c r="A148" s="29"/>
      <c r="B148" s="3" t="s">
        <v>132</v>
      </c>
      <c r="C148" s="3"/>
      <c r="D148" s="3"/>
      <c r="E148" s="3"/>
      <c r="F148" s="66" t="n">
        <f aca="false">F20-G20</f>
        <v>4224687.28999999</v>
      </c>
      <c r="G148" s="66" t="n">
        <v>3397394.26000001</v>
      </c>
    </row>
    <row r="149" customFormat="false" ht="15" hidden="false" customHeight="false" outlineLevel="0" collapsed="false">
      <c r="A149" s="29"/>
      <c r="B149" s="3" t="s">
        <v>133</v>
      </c>
      <c r="C149" s="3"/>
      <c r="D149" s="3"/>
      <c r="E149" s="3"/>
      <c r="F149" s="66"/>
      <c r="G149" s="66"/>
    </row>
    <row r="150" customFormat="false" ht="15" hidden="false" customHeight="false" outlineLevel="0" collapsed="false">
      <c r="A150" s="29"/>
      <c r="B150" s="3" t="s">
        <v>134</v>
      </c>
      <c r="C150" s="3"/>
      <c r="D150" s="3"/>
      <c r="E150" s="3"/>
      <c r="F150" s="66" t="n">
        <v>0</v>
      </c>
      <c r="G150" s="2" t="n">
        <v>0</v>
      </c>
    </row>
    <row r="151" customFormat="false" ht="15" hidden="false" customHeight="false" outlineLevel="0" collapsed="false">
      <c r="A151" s="29"/>
      <c r="B151" s="3" t="s">
        <v>135</v>
      </c>
      <c r="C151" s="3"/>
      <c r="D151" s="3"/>
      <c r="E151" s="3"/>
      <c r="F151" s="72" t="n">
        <f aca="false">-F119</f>
        <v>-3556643</v>
      </c>
      <c r="G151" s="66" t="n">
        <f aca="false">-G119</f>
        <v>-2098412.55</v>
      </c>
    </row>
    <row r="152" customFormat="false" ht="15" hidden="false" customHeight="false" outlineLevel="0" collapsed="false">
      <c r="A152" s="29"/>
      <c r="B152" s="3" t="s">
        <v>136</v>
      </c>
      <c r="C152" s="3"/>
      <c r="D152" s="3"/>
      <c r="E152" s="3"/>
      <c r="F152" s="67" t="n">
        <f aca="false">SUM(F148:F151)</f>
        <v>668044.289999992</v>
      </c>
      <c r="G152" s="67" t="n">
        <f aca="false">SUM(G148:G151)</f>
        <v>1298981.71000001</v>
      </c>
    </row>
    <row r="153" customFormat="false" ht="15" hidden="false" customHeight="false" outlineLevel="0" collapsed="false">
      <c r="A153" s="29" t="s">
        <v>137</v>
      </c>
      <c r="B153" s="63"/>
      <c r="C153" s="48"/>
      <c r="D153" s="48"/>
      <c r="E153" s="48"/>
      <c r="F153" s="89"/>
      <c r="G153" s="40"/>
      <c r="H153" s="40"/>
    </row>
    <row r="154" customFormat="false" ht="13.5" hidden="false" customHeight="false" outlineLevel="0" collapsed="false">
      <c r="A154" s="97" t="s">
        <v>138</v>
      </c>
      <c r="B154" s="3"/>
      <c r="C154" s="3"/>
      <c r="D154" s="3"/>
      <c r="E154" s="3"/>
      <c r="F154" s="66" t="n">
        <f aca="false">+F136+F144+F152</f>
        <v>-80358.2800000035</v>
      </c>
      <c r="G154" s="98" t="n">
        <f aca="false">+G136+G144+G152</f>
        <v>383311.640000007</v>
      </c>
      <c r="H154" s="40"/>
    </row>
    <row r="155" customFormat="false" ht="13.5" hidden="false" customHeight="false" outlineLevel="0" collapsed="false">
      <c r="A155" s="97"/>
      <c r="B155" s="3" t="s">
        <v>139</v>
      </c>
      <c r="C155" s="3"/>
      <c r="D155" s="3"/>
      <c r="E155" s="3"/>
      <c r="F155" s="24" t="n">
        <f aca="false">+G160</f>
        <v>519160.16</v>
      </c>
      <c r="G155" s="40" t="n">
        <v>135848.52</v>
      </c>
      <c r="H155" s="40"/>
    </row>
    <row r="156" customFormat="false" ht="13.5" hidden="false" customHeight="false" outlineLevel="0" collapsed="false">
      <c r="A156" s="97"/>
      <c r="B156" s="99" t="s">
        <v>140</v>
      </c>
      <c r="C156" s="3"/>
      <c r="D156" s="3"/>
      <c r="E156" s="3"/>
      <c r="F156" s="24" t="n">
        <f aca="false">+F154+F155</f>
        <v>438801.879999996</v>
      </c>
      <c r="G156" s="3" t="n">
        <f aca="false">+G154+G155</f>
        <v>519160.160000007</v>
      </c>
      <c r="H156" s="40"/>
    </row>
    <row r="157" customFormat="false" ht="15" hidden="false" customHeight="false" outlineLevel="0" collapsed="false">
      <c r="A157" s="29"/>
      <c r="B157" s="99" t="s">
        <v>141</v>
      </c>
      <c r="F157" s="24"/>
      <c r="H157" s="40"/>
    </row>
    <row r="158" customFormat="false" ht="15" hidden="false" customHeight="false" outlineLevel="0" collapsed="false">
      <c r="A158" s="29"/>
      <c r="B158" s="3" t="s">
        <v>142</v>
      </c>
      <c r="C158" s="3"/>
      <c r="D158" s="3"/>
      <c r="E158" s="3"/>
      <c r="F158" s="40" t="n">
        <f aca="false">+F418</f>
        <v>398024.5</v>
      </c>
      <c r="G158" s="40" t="n">
        <f aca="false">+G418</f>
        <v>504780.5</v>
      </c>
      <c r="H158" s="40"/>
    </row>
    <row r="159" customFormat="false" ht="15" hidden="false" customHeight="false" outlineLevel="0" collapsed="false">
      <c r="A159" s="29"/>
      <c r="B159" s="3" t="s">
        <v>143</v>
      </c>
      <c r="C159" s="3"/>
      <c r="E159" s="3"/>
      <c r="F159" s="40" t="n">
        <f aca="false">+F417</f>
        <v>40777.38</v>
      </c>
      <c r="G159" s="40" t="n">
        <f aca="false">+G417</f>
        <v>14379.66</v>
      </c>
      <c r="H159" s="40"/>
    </row>
    <row r="160" customFormat="false" ht="15" hidden="false" customHeight="false" outlineLevel="0" collapsed="false">
      <c r="A160" s="29"/>
      <c r="B160" s="3" t="s">
        <v>144</v>
      </c>
      <c r="C160" s="3"/>
      <c r="D160" s="3"/>
      <c r="E160" s="37"/>
      <c r="F160" s="43" t="n">
        <f aca="false">+F158+F159</f>
        <v>438801.88</v>
      </c>
      <c r="G160" s="43" t="n">
        <f aca="false">+G158+G159</f>
        <v>519160.16</v>
      </c>
    </row>
    <row r="161" customFormat="false" ht="15" hidden="false" customHeight="false" outlineLevel="0" collapsed="false">
      <c r="A161" s="29"/>
      <c r="B161" s="3" t="s">
        <v>145</v>
      </c>
      <c r="C161" s="3"/>
      <c r="D161" s="3"/>
      <c r="E161" s="54"/>
      <c r="F161" s="43" t="n">
        <f aca="false">+F156-F160</f>
        <v>-3.55066731572151E-009</v>
      </c>
      <c r="G161" s="43" t="n">
        <f aca="false">+G156-G160</f>
        <v>6.69388100504875E-009</v>
      </c>
    </row>
    <row r="162" customFormat="false" ht="15" hidden="false" customHeight="false" outlineLevel="0" collapsed="false">
      <c r="A162" s="4" t="str">
        <f aca="false">A97</f>
        <v>See acompanying notes to the financial statements.</v>
      </c>
      <c r="B162" s="100"/>
      <c r="C162" s="100"/>
      <c r="D162" s="100"/>
      <c r="E162" s="100"/>
      <c r="F162" s="100" t="str">
        <f aca="false">F97</f>
        <v>As per our report of even date</v>
      </c>
      <c r="G162" s="101"/>
    </row>
    <row r="163" customFormat="false" ht="15" hidden="false" customHeight="false" outlineLevel="0" collapsed="false">
      <c r="A163" s="29"/>
      <c r="B163" s="48"/>
      <c r="C163" s="48"/>
      <c r="D163" s="48"/>
      <c r="E163" s="48"/>
      <c r="F163" s="48" t="str">
        <f aca="false">F98</f>
        <v>For DILIP RATHOR AND CO.</v>
      </c>
      <c r="G163" s="94"/>
    </row>
    <row r="164" customFormat="false" ht="15" hidden="false" customHeight="false" outlineLevel="0" collapsed="false">
      <c r="A164" s="29" t="str">
        <f aca="false">A99</f>
        <v>For and on behalf of  the Board of Directors of  the Company.</v>
      </c>
      <c r="B164" s="48"/>
      <c r="C164" s="48"/>
      <c r="D164" s="48"/>
      <c r="E164" s="48"/>
      <c r="F164" s="48" t="str">
        <f aca="false">F99</f>
        <v>Chartered Accountants</v>
      </c>
      <c r="G164" s="94"/>
    </row>
    <row r="165" customFormat="false" ht="15" hidden="false" customHeight="false" outlineLevel="0" collapsed="false">
      <c r="A165" s="29"/>
      <c r="B165" s="48"/>
      <c r="C165" s="48"/>
      <c r="D165" s="48"/>
      <c r="E165" s="48"/>
      <c r="F165" s="48" t="str">
        <f aca="false">F100</f>
        <v>Firm Reg. No.  : 011691 C</v>
      </c>
      <c r="G165" s="94"/>
    </row>
    <row r="166" customFormat="false" ht="15" hidden="false" customHeight="false" outlineLevel="0" collapsed="false">
      <c r="A166" s="29" t="s">
        <v>146</v>
      </c>
      <c r="B166" s="48"/>
      <c r="C166" s="48" t="str">
        <f aca="false">+C52</f>
        <v>SMT Padmini Bhatia</v>
      </c>
      <c r="D166" s="48"/>
      <c r="E166" s="48"/>
      <c r="F166" s="48"/>
      <c r="G166" s="94"/>
    </row>
    <row r="167" customFormat="false" ht="15" hidden="false" customHeight="false" outlineLevel="0" collapsed="false">
      <c r="A167" s="29" t="str">
        <f aca="false">+A53</f>
        <v>(DIRECTOR)</v>
      </c>
      <c r="B167" s="48"/>
      <c r="C167" s="48" t="str">
        <f aca="false">+C53</f>
        <v>(DIRECTOR)</v>
      </c>
      <c r="D167" s="48"/>
      <c r="E167" s="48"/>
      <c r="F167" s="48" t="str">
        <f aca="false">+F53</f>
        <v>DILIP RATHOR</v>
      </c>
      <c r="G167" s="94"/>
    </row>
    <row r="168" customFormat="false" ht="15" hidden="false" customHeight="false" outlineLevel="0" collapsed="false">
      <c r="A168" s="29" t="str">
        <f aca="false">+A54</f>
        <v>(DIN : 03136236)</v>
      </c>
      <c r="B168" s="48"/>
      <c r="C168" s="48" t="str">
        <f aca="false">+C54</f>
        <v>(DIN : 03136241)</v>
      </c>
      <c r="D168" s="48"/>
      <c r="E168" s="48"/>
      <c r="F168" s="48" t="str">
        <f aca="false">+F54</f>
        <v>(PROPRIETOR)</v>
      </c>
      <c r="G168" s="94"/>
    </row>
    <row r="169" customFormat="false" ht="15" hidden="false" customHeight="false" outlineLevel="0" collapsed="false">
      <c r="A169" s="29" t="str">
        <f aca="false">A55</f>
        <v>Place:</v>
      </c>
      <c r="B169" s="76" t="str">
        <f aca="false">B55</f>
        <v>Indore</v>
      </c>
      <c r="C169" s="76"/>
      <c r="D169" s="48"/>
      <c r="E169" s="48"/>
      <c r="F169" s="48" t="str">
        <f aca="false">F106</f>
        <v>M.No.  077973</v>
      </c>
      <c r="G169" s="94"/>
    </row>
    <row r="170" customFormat="false" ht="15" hidden="false" customHeight="false" outlineLevel="0" collapsed="false">
      <c r="A170" s="51" t="str">
        <f aca="false">A56</f>
        <v>Date: 07/09/2025</v>
      </c>
      <c r="B170" s="82"/>
      <c r="C170" s="82"/>
      <c r="D170" s="48"/>
      <c r="E170" s="48"/>
      <c r="F170" s="53" t="str">
        <f aca="false">+F107</f>
        <v>UDIN:  25077973BMLATD4385</v>
      </c>
      <c r="G170" s="94"/>
    </row>
    <row r="171" customFormat="false" ht="15" hidden="false" customHeight="false" outlineLevel="0" collapsed="false">
      <c r="A171" s="76"/>
      <c r="B171" s="48"/>
      <c r="C171" s="48"/>
      <c r="D171" s="48"/>
      <c r="E171" s="48"/>
      <c r="F171" s="48"/>
      <c r="G171" s="48"/>
    </row>
    <row r="172" customFormat="false" ht="15" hidden="false" customHeight="false" outlineLevel="0" collapsed="false">
      <c r="A172" s="76"/>
      <c r="B172" s="48"/>
      <c r="C172" s="48"/>
      <c r="D172" s="48"/>
      <c r="E172" s="48"/>
      <c r="F172" s="48"/>
      <c r="G172" s="48"/>
    </row>
    <row r="173" customFormat="false" ht="15" hidden="false" customHeight="false" outlineLevel="0" collapsed="false">
      <c r="A173" s="1" t="n">
        <v>3</v>
      </c>
      <c r="B173" s="102" t="s">
        <v>147</v>
      </c>
      <c r="C173" s="103"/>
      <c r="D173" s="5"/>
      <c r="E173" s="43"/>
      <c r="F173" s="104" t="s">
        <v>148</v>
      </c>
      <c r="G173" s="104" t="s">
        <v>149</v>
      </c>
    </row>
    <row r="174" customFormat="false" ht="15" hidden="false" customHeight="false" outlineLevel="0" collapsed="false">
      <c r="A174" s="105"/>
      <c r="B174" s="81"/>
      <c r="C174" s="79"/>
      <c r="D174" s="79"/>
      <c r="E174" s="54"/>
      <c r="F174" s="106" t="str">
        <f aca="false">F113</f>
        <v>Rs.</v>
      </c>
      <c r="G174" s="20" t="str">
        <f aca="false">G113</f>
        <v>Rs.</v>
      </c>
    </row>
    <row r="175" customFormat="false" ht="15" hidden="false" customHeight="false" outlineLevel="0" collapsed="false">
      <c r="B175" s="40" t="s">
        <v>150</v>
      </c>
      <c r="C175" s="3"/>
      <c r="D175" s="3"/>
      <c r="E175" s="37"/>
      <c r="F175" s="40"/>
      <c r="G175" s="24"/>
    </row>
    <row r="176" customFormat="false" ht="15" hidden="false" customHeight="false" outlineLevel="0" collapsed="false">
      <c r="B176" s="40" t="s">
        <v>151</v>
      </c>
      <c r="C176" s="3"/>
      <c r="D176" s="3"/>
      <c r="E176" s="37"/>
      <c r="F176" s="24" t="n">
        <v>3000000</v>
      </c>
      <c r="G176" s="24" t="n">
        <v>3000000</v>
      </c>
    </row>
    <row r="177" customFormat="false" ht="15" hidden="false" customHeight="false" outlineLevel="0" collapsed="false">
      <c r="B177" s="40" t="s">
        <v>152</v>
      </c>
      <c r="C177" s="3"/>
      <c r="D177" s="3"/>
      <c r="E177" s="37"/>
      <c r="F177" s="107"/>
      <c r="G177" s="24"/>
    </row>
    <row r="178" customFormat="false" ht="15" hidden="false" customHeight="false" outlineLevel="0" collapsed="false">
      <c r="B178" s="40"/>
      <c r="C178" s="3"/>
      <c r="D178" s="3"/>
      <c r="E178" s="37"/>
      <c r="F178" s="108" t="n">
        <f aca="false">SUM(F176:F177)</f>
        <v>3000000</v>
      </c>
      <c r="G178" s="108" t="n">
        <f aca="false">SUM(G176:G177)</f>
        <v>3000000</v>
      </c>
    </row>
    <row r="179" customFormat="false" ht="15" hidden="false" customHeight="false" outlineLevel="0" collapsed="false">
      <c r="B179" s="40" t="s">
        <v>153</v>
      </c>
      <c r="C179" s="3"/>
      <c r="F179" s="22"/>
      <c r="G179" s="24"/>
    </row>
    <row r="180" customFormat="false" ht="15" hidden="false" customHeight="false" outlineLevel="0" collapsed="false">
      <c r="B180" s="40" t="s">
        <v>154</v>
      </c>
      <c r="C180" s="3"/>
      <c r="D180" s="3"/>
      <c r="E180" s="3"/>
      <c r="F180" s="24" t="n">
        <v>3000000</v>
      </c>
      <c r="G180" s="24" t="n">
        <v>3000000</v>
      </c>
    </row>
    <row r="181" customFormat="false" ht="15" hidden="false" customHeight="false" outlineLevel="0" collapsed="false">
      <c r="B181" s="40" t="s">
        <v>155</v>
      </c>
      <c r="C181" s="3"/>
      <c r="D181" s="3"/>
      <c r="E181" s="3"/>
      <c r="F181" s="109"/>
      <c r="G181" s="24"/>
    </row>
    <row r="182" customFormat="false" ht="15" hidden="false" customHeight="false" outlineLevel="0" collapsed="false">
      <c r="B182" s="40"/>
      <c r="C182" s="3"/>
      <c r="D182" s="3"/>
      <c r="E182" s="37"/>
      <c r="F182" s="108" t="n">
        <f aca="false">SUM(F180:F181)</f>
        <v>3000000</v>
      </c>
      <c r="G182" s="108" t="n">
        <f aca="false">SUM(G180:G181)</f>
        <v>3000000</v>
      </c>
    </row>
    <row r="183" customFormat="false" ht="15" hidden="false" customHeight="false" outlineLevel="0" collapsed="false">
      <c r="B183" s="40" t="s">
        <v>156</v>
      </c>
      <c r="C183" s="3"/>
      <c r="D183" s="3"/>
      <c r="E183" s="37"/>
      <c r="F183" s="40"/>
      <c r="G183" s="24"/>
    </row>
    <row r="184" customFormat="false" ht="15" hidden="false" customHeight="false" outlineLevel="0" collapsed="false">
      <c r="B184" s="40" t="s">
        <v>154</v>
      </c>
      <c r="C184" s="3"/>
      <c r="D184" s="3"/>
      <c r="E184" s="37"/>
      <c r="F184" s="24" t="n">
        <v>3000000</v>
      </c>
      <c r="G184" s="24" t="n">
        <v>3000000</v>
      </c>
    </row>
    <row r="185" customFormat="false" ht="15" hidden="false" customHeight="false" outlineLevel="0" collapsed="false">
      <c r="B185" s="40" t="s">
        <v>155</v>
      </c>
      <c r="C185" s="3"/>
      <c r="D185" s="3"/>
      <c r="E185" s="37"/>
      <c r="F185" s="107"/>
      <c r="G185" s="24"/>
    </row>
    <row r="186" customFormat="false" ht="15" hidden="false" customHeight="false" outlineLevel="0" collapsed="false">
      <c r="B186" s="40"/>
      <c r="C186" s="3"/>
      <c r="D186" s="3"/>
      <c r="E186" s="37"/>
      <c r="F186" s="107"/>
      <c r="G186" s="24"/>
    </row>
    <row r="187" customFormat="false" ht="15" hidden="false" customHeight="false" outlineLevel="0" collapsed="false">
      <c r="B187" s="110"/>
      <c r="C187" s="53"/>
      <c r="D187" s="53" t="s">
        <v>157</v>
      </c>
      <c r="E187" s="111"/>
      <c r="F187" s="112" t="n">
        <f aca="false">SUM(F184:F186)</f>
        <v>3000000</v>
      </c>
      <c r="G187" s="112" t="n">
        <f aca="false">SUM(G184:G186)</f>
        <v>3000000</v>
      </c>
    </row>
    <row r="188" customFormat="false" ht="7.5" hidden="false" customHeight="true" outlineLevel="0" collapsed="false">
      <c r="F188" s="3"/>
      <c r="G188" s="24"/>
    </row>
    <row r="189" customFormat="false" ht="31.5" hidden="false" customHeight="true" outlineLevel="0" collapsed="false">
      <c r="B189" s="113" t="s">
        <v>158</v>
      </c>
      <c r="C189" s="113"/>
      <c r="D189" s="113"/>
      <c r="E189" s="113"/>
      <c r="F189" s="5"/>
      <c r="G189" s="43"/>
    </row>
    <row r="190" customFormat="false" ht="16.5" hidden="false" customHeight="true" outlineLevel="0" collapsed="false">
      <c r="B190" s="81" t="s">
        <v>159</v>
      </c>
      <c r="C190" s="79"/>
      <c r="D190" s="79"/>
      <c r="E190" s="79"/>
      <c r="F190" s="79"/>
      <c r="G190" s="54"/>
    </row>
    <row r="191" customFormat="false" ht="13.5" hidden="false" customHeight="true" outlineLevel="0" collapsed="false">
      <c r="F191" s="3"/>
      <c r="G191" s="3"/>
    </row>
    <row r="192" customFormat="false" ht="15" hidden="false" customHeight="false" outlineLevel="0" collapsed="false">
      <c r="B192" s="114" t="s">
        <v>160</v>
      </c>
      <c r="C192" s="114"/>
    </row>
    <row r="193" customFormat="false" ht="15" hidden="false" customHeight="true" outlineLevel="0" collapsed="false">
      <c r="B193" s="115" t="s">
        <v>161</v>
      </c>
      <c r="C193" s="115"/>
      <c r="D193" s="116" t="str">
        <f aca="false">F173</f>
        <v>2024-25</v>
      </c>
      <c r="E193" s="116"/>
      <c r="F193" s="116" t="str">
        <f aca="false">+G173</f>
        <v>2023-24</v>
      </c>
      <c r="G193" s="116"/>
    </row>
    <row r="194" customFormat="false" ht="33" hidden="false" customHeight="true" outlineLevel="0" collapsed="false">
      <c r="B194" s="115"/>
      <c r="C194" s="115"/>
      <c r="D194" s="12" t="s">
        <v>162</v>
      </c>
      <c r="E194" s="116" t="s">
        <v>163</v>
      </c>
      <c r="F194" s="12" t="s">
        <v>162</v>
      </c>
      <c r="G194" s="116" t="s">
        <v>163</v>
      </c>
    </row>
    <row r="195" customFormat="false" ht="15" hidden="false" customHeight="true" outlineLevel="0" collapsed="false">
      <c r="B195" s="23" t="s">
        <v>164</v>
      </c>
      <c r="C195" s="23"/>
      <c r="D195" s="30"/>
      <c r="E195" s="117"/>
      <c r="F195" s="118"/>
      <c r="G195" s="118"/>
    </row>
    <row r="196" customFormat="false" ht="12" hidden="false" customHeight="true" outlineLevel="0" collapsed="false">
      <c r="B196" s="119" t="s">
        <v>55</v>
      </c>
      <c r="C196" s="120"/>
      <c r="D196" s="22" t="n">
        <v>225000</v>
      </c>
      <c r="E196" s="121" t="n">
        <v>75</v>
      </c>
      <c r="F196" s="22" t="n">
        <v>225000</v>
      </c>
      <c r="G196" s="121" t="n">
        <v>75</v>
      </c>
    </row>
    <row r="197" customFormat="false" ht="12" hidden="false" customHeight="true" outlineLevel="0" collapsed="false">
      <c r="B197" s="122" t="s">
        <v>165</v>
      </c>
      <c r="C197" s="123"/>
      <c r="D197" s="41" t="n">
        <v>75000</v>
      </c>
      <c r="E197" s="124" t="n">
        <v>25</v>
      </c>
      <c r="F197" s="41" t="n">
        <v>75000</v>
      </c>
      <c r="G197" s="124" t="n">
        <v>25</v>
      </c>
    </row>
    <row r="198" s="3" customFormat="true" ht="15" hidden="false" customHeight="false" outlineLevel="0" collapsed="false">
      <c r="A198" s="76"/>
      <c r="G198" s="125"/>
    </row>
    <row r="199" s="3" customFormat="true" ht="15" hidden="false" customHeight="false" outlineLevel="0" collapsed="false">
      <c r="A199" s="76"/>
      <c r="B199" s="36" t="s">
        <v>166</v>
      </c>
      <c r="C199" s="36"/>
      <c r="G199" s="125"/>
    </row>
    <row r="200" s="3" customFormat="true" ht="15" hidden="false" customHeight="false" outlineLevel="0" collapsed="false">
      <c r="A200" s="76"/>
      <c r="B200" s="118"/>
      <c r="C200" s="126"/>
      <c r="D200" s="118" t="str">
        <f aca="false">D193</f>
        <v>2024-25</v>
      </c>
      <c r="E200" s="118"/>
      <c r="F200" s="118" t="str">
        <f aca="false">F193</f>
        <v>2023-24</v>
      </c>
      <c r="G200" s="118"/>
    </row>
    <row r="201" s="3" customFormat="true" ht="15" hidden="false" customHeight="false" outlineLevel="0" collapsed="false">
      <c r="A201" s="76"/>
      <c r="B201" s="118"/>
      <c r="C201" s="127"/>
      <c r="D201" s="118" t="s">
        <v>162</v>
      </c>
      <c r="E201" s="118" t="str">
        <f aca="false">F174</f>
        <v>Rs.</v>
      </c>
      <c r="F201" s="118" t="s">
        <v>162</v>
      </c>
      <c r="G201" s="118" t="str">
        <f aca="false">+G174</f>
        <v>Rs.</v>
      </c>
    </row>
    <row r="202" s="3" customFormat="true" ht="15" hidden="false" customHeight="false" outlineLevel="0" collapsed="false">
      <c r="A202" s="76"/>
      <c r="B202" s="23" t="s">
        <v>164</v>
      </c>
      <c r="C202" s="23"/>
      <c r="D202" s="128"/>
      <c r="E202" s="129"/>
      <c r="F202" s="129"/>
      <c r="G202" s="129"/>
    </row>
    <row r="203" s="3" customFormat="true" ht="15" hidden="false" customHeight="false" outlineLevel="0" collapsed="false">
      <c r="A203" s="76"/>
      <c r="B203" s="24" t="s">
        <v>167</v>
      </c>
      <c r="C203" s="24"/>
      <c r="D203" s="22" t="n">
        <f aca="false">+F205</f>
        <v>300000</v>
      </c>
      <c r="E203" s="22" t="n">
        <f aca="false">+G205</f>
        <v>3000000</v>
      </c>
      <c r="F203" s="22" t="n">
        <v>300000</v>
      </c>
      <c r="G203" s="43" t="n">
        <f aca="false">+F203*10</f>
        <v>3000000</v>
      </c>
    </row>
    <row r="204" s="3" customFormat="true" ht="15" hidden="false" customHeight="false" outlineLevel="0" collapsed="false">
      <c r="A204" s="76"/>
      <c r="B204" s="24" t="s">
        <v>168</v>
      </c>
      <c r="C204" s="24"/>
      <c r="D204" s="37" t="n">
        <v>0</v>
      </c>
      <c r="E204" s="24" t="n">
        <v>0</v>
      </c>
      <c r="F204" s="37" t="n">
        <v>0</v>
      </c>
      <c r="G204" s="24" t="n">
        <v>0</v>
      </c>
    </row>
    <row r="205" s="3" customFormat="true" ht="15" hidden="false" customHeight="false" outlineLevel="0" collapsed="false">
      <c r="A205" s="76"/>
      <c r="B205" s="41" t="s">
        <v>169</v>
      </c>
      <c r="C205" s="41"/>
      <c r="D205" s="41" t="n">
        <f aca="false">+D203-D204</f>
        <v>300000</v>
      </c>
      <c r="E205" s="41" t="n">
        <f aca="false">+E203-E204</f>
        <v>3000000</v>
      </c>
      <c r="F205" s="41" t="n">
        <f aca="false">+F203-F204</f>
        <v>300000</v>
      </c>
      <c r="G205" s="41" t="n">
        <f aca="false">+G203-G204</f>
        <v>3000000</v>
      </c>
    </row>
    <row r="206" s="3" customFormat="true" ht="5.45" hidden="false" customHeight="true" outlineLevel="0" collapsed="false">
      <c r="A206" s="76"/>
    </row>
    <row r="207" customFormat="false" ht="42" hidden="false" customHeight="true" outlineLevel="0" collapsed="false">
      <c r="B207" s="33" t="s">
        <v>170</v>
      </c>
      <c r="C207" s="33"/>
      <c r="D207" s="33"/>
      <c r="E207" s="33"/>
      <c r="F207" s="33"/>
      <c r="G207" s="33"/>
    </row>
    <row r="208" customFormat="false" ht="17.45" hidden="false" customHeight="true" outlineLevel="0" collapsed="false">
      <c r="B208" s="130" t="s">
        <v>171</v>
      </c>
      <c r="C208" s="130"/>
      <c r="D208" s="131"/>
      <c r="E208" s="131"/>
      <c r="F208" s="131"/>
      <c r="G208" s="131"/>
    </row>
    <row r="209" customFormat="false" ht="27.75" hidden="false" customHeight="true" outlineLevel="0" collapsed="false">
      <c r="B209" s="132" t="s">
        <v>172</v>
      </c>
      <c r="C209" s="132"/>
      <c r="D209" s="132"/>
      <c r="E209" s="132"/>
      <c r="F209" s="132"/>
      <c r="G209" s="133" t="s">
        <v>173</v>
      </c>
    </row>
    <row r="210" customFormat="false" ht="27.75" hidden="false" customHeight="true" outlineLevel="0" collapsed="false">
      <c r="B210" s="117"/>
      <c r="C210" s="117" t="str">
        <f aca="false">D193</f>
        <v>2024-25</v>
      </c>
      <c r="D210" s="117"/>
      <c r="E210" s="117" t="str">
        <f aca="false">+F193</f>
        <v>2023-24</v>
      </c>
      <c r="F210" s="117"/>
      <c r="G210" s="133"/>
    </row>
    <row r="211" customFormat="false" ht="37.5" hidden="false" customHeight="true" outlineLevel="0" collapsed="false">
      <c r="B211" s="134" t="s">
        <v>174</v>
      </c>
      <c r="C211" s="133" t="s">
        <v>175</v>
      </c>
      <c r="D211" s="133" t="s">
        <v>176</v>
      </c>
      <c r="E211" s="133" t="s">
        <v>175</v>
      </c>
      <c r="F211" s="133" t="s">
        <v>176</v>
      </c>
      <c r="G211" s="133"/>
    </row>
    <row r="212" customFormat="false" ht="18.75" hidden="false" customHeight="true" outlineLevel="0" collapsed="false">
      <c r="B212" s="119" t="s">
        <v>177</v>
      </c>
      <c r="C212" s="22" t="n">
        <v>225000</v>
      </c>
      <c r="D212" s="121" t="n">
        <v>75</v>
      </c>
      <c r="E212" s="22" t="n">
        <v>225000</v>
      </c>
      <c r="F212" s="121" t="n">
        <v>75</v>
      </c>
      <c r="G212" s="135" t="n">
        <f aca="false">+D212-F212</f>
        <v>0</v>
      </c>
    </row>
    <row r="213" customFormat="false" ht="18.75" hidden="false" customHeight="true" outlineLevel="0" collapsed="false">
      <c r="B213" s="136" t="s">
        <v>178</v>
      </c>
      <c r="C213" s="24" t="n">
        <v>75000</v>
      </c>
      <c r="D213" s="121" t="n">
        <v>25</v>
      </c>
      <c r="E213" s="24" t="n">
        <v>75000</v>
      </c>
      <c r="F213" s="121" t="n">
        <v>25</v>
      </c>
      <c r="G213" s="135" t="n">
        <f aca="false">+D213-F213</f>
        <v>0</v>
      </c>
    </row>
    <row r="214" customFormat="false" ht="18.75" hidden="false" customHeight="true" outlineLevel="0" collapsed="false">
      <c r="B214" s="137" t="s">
        <v>179</v>
      </c>
      <c r="C214" s="138" t="n">
        <f aca="false">SUM(C212:C213)</f>
        <v>300000</v>
      </c>
      <c r="D214" s="139" t="n">
        <f aca="false">SUM(D212:D213)</f>
        <v>100</v>
      </c>
      <c r="E214" s="140" t="n">
        <f aca="false">SUM(E212:E213)</f>
        <v>300000</v>
      </c>
      <c r="F214" s="139" t="n">
        <f aca="false">SUM(F212:F213)</f>
        <v>100</v>
      </c>
      <c r="G214" s="141" t="n">
        <f aca="false">((D214/F214)-1)*100</f>
        <v>0</v>
      </c>
    </row>
    <row r="215" customFormat="false" ht="14.25" hidden="false" customHeight="true" outlineLevel="0" collapsed="false">
      <c r="B215" s="131"/>
      <c r="C215" s="131"/>
      <c r="D215" s="131"/>
      <c r="E215" s="131"/>
      <c r="F215" s="131"/>
      <c r="G215" s="131"/>
    </row>
    <row r="216" customFormat="false" ht="13.5" hidden="false" customHeight="true" outlineLevel="0" collapsed="false">
      <c r="A216" s="1" t="n">
        <f aca="false">A173+1</f>
        <v>4</v>
      </c>
      <c r="B216" s="102" t="s">
        <v>180</v>
      </c>
      <c r="C216" s="103"/>
      <c r="D216" s="5"/>
      <c r="E216" s="43"/>
      <c r="F216" s="57" t="str">
        <f aca="false">D200</f>
        <v>2024-25</v>
      </c>
      <c r="G216" s="57" t="str">
        <f aca="false">E210</f>
        <v>2023-24</v>
      </c>
    </row>
    <row r="217" customFormat="false" ht="15" hidden="false" customHeight="false" outlineLevel="0" collapsed="false">
      <c r="B217" s="81"/>
      <c r="C217" s="79"/>
      <c r="D217" s="79"/>
      <c r="E217" s="54"/>
      <c r="F217" s="106" t="str">
        <f aca="false">F174</f>
        <v>Rs.</v>
      </c>
      <c r="G217" s="106" t="str">
        <f aca="false">G174</f>
        <v>Rs.</v>
      </c>
    </row>
    <row r="218" customFormat="false" ht="15" hidden="false" customHeight="false" outlineLevel="0" collapsed="false">
      <c r="B218" s="40" t="s">
        <v>181</v>
      </c>
      <c r="C218" s="3"/>
      <c r="D218" s="3"/>
      <c r="E218" s="37"/>
      <c r="F218" s="142"/>
      <c r="G218" s="143"/>
    </row>
    <row r="219" customFormat="false" ht="15" hidden="false" customHeight="false" outlineLevel="0" collapsed="false">
      <c r="B219" s="40"/>
      <c r="C219" s="3"/>
      <c r="D219" s="3" t="s">
        <v>182</v>
      </c>
      <c r="E219" s="3"/>
      <c r="F219" s="24" t="n">
        <f aca="false">+G221</f>
        <v>0</v>
      </c>
      <c r="G219" s="24"/>
    </row>
    <row r="220" customFormat="false" ht="16.5" hidden="false" customHeight="true" outlineLevel="0" collapsed="false">
      <c r="B220" s="40"/>
      <c r="C220" s="3"/>
      <c r="D220" s="96" t="s">
        <v>183</v>
      </c>
      <c r="E220" s="96"/>
      <c r="F220" s="24" t="n">
        <v>0</v>
      </c>
      <c r="G220" s="24" t="n">
        <v>0</v>
      </c>
    </row>
    <row r="221" customFormat="false" ht="15" hidden="false" customHeight="false" outlineLevel="0" collapsed="false">
      <c r="B221" s="40"/>
      <c r="C221" s="3"/>
      <c r="D221" s="144" t="s">
        <v>184</v>
      </c>
      <c r="E221" s="3"/>
      <c r="F221" s="30" t="n">
        <f aca="false">+F219-F220</f>
        <v>0</v>
      </c>
      <c r="G221" s="30" t="n">
        <f aca="false">+G219-G220</f>
        <v>0</v>
      </c>
    </row>
    <row r="222" customFormat="false" ht="15" hidden="false" customHeight="false" outlineLevel="0" collapsed="false">
      <c r="B222" s="40"/>
      <c r="C222" s="3"/>
      <c r="D222" s="3"/>
      <c r="E222" s="37"/>
      <c r="F222" s="142"/>
      <c r="G222" s="143"/>
    </row>
    <row r="223" customFormat="false" ht="15" hidden="false" customHeight="false" outlineLevel="0" collapsed="false">
      <c r="A223" s="76"/>
      <c r="B223" s="63" t="s">
        <v>185</v>
      </c>
      <c r="C223" s="48"/>
      <c r="D223" s="3"/>
      <c r="E223" s="37"/>
      <c r="F223" s="40"/>
      <c r="G223" s="24"/>
    </row>
    <row r="224" customFormat="false" ht="15" hidden="false" customHeight="false" outlineLevel="0" collapsed="false">
      <c r="A224" s="76"/>
      <c r="B224" s="40"/>
      <c r="C224" s="3"/>
      <c r="D224" s="3" t="s">
        <v>182</v>
      </c>
      <c r="E224" s="3"/>
      <c r="F224" s="24" t="n">
        <f aca="false">+G226</f>
        <v>0</v>
      </c>
      <c r="G224" s="24" t="n">
        <v>0</v>
      </c>
    </row>
    <row r="225" customFormat="false" ht="15.75" hidden="false" customHeight="true" outlineLevel="0" collapsed="false">
      <c r="A225" s="76"/>
      <c r="B225" s="40"/>
      <c r="C225" s="3"/>
      <c r="D225" s="96" t="s">
        <v>183</v>
      </c>
      <c r="E225" s="96"/>
      <c r="F225" s="24" t="n">
        <v>0</v>
      </c>
      <c r="G225" s="24" t="n">
        <v>0</v>
      </c>
    </row>
    <row r="226" customFormat="false" ht="15" hidden="false" customHeight="false" outlineLevel="0" collapsed="false">
      <c r="A226" s="76"/>
      <c r="B226" s="40"/>
      <c r="C226" s="3"/>
      <c r="D226" s="144" t="s">
        <v>184</v>
      </c>
      <c r="E226" s="3"/>
      <c r="F226" s="30" t="n">
        <f aca="false">+F224-F225</f>
        <v>0</v>
      </c>
      <c r="G226" s="30" t="n">
        <f aca="false">+G224-G225</f>
        <v>0</v>
      </c>
    </row>
    <row r="227" customFormat="false" ht="15" hidden="false" customHeight="false" outlineLevel="0" collapsed="false">
      <c r="B227" s="40" t="s">
        <v>186</v>
      </c>
      <c r="C227" s="48"/>
      <c r="D227" s="3"/>
      <c r="E227" s="3"/>
      <c r="F227" s="22"/>
      <c r="G227" s="37"/>
    </row>
    <row r="228" customFormat="false" ht="15" hidden="false" customHeight="false" outlineLevel="0" collapsed="false">
      <c r="B228" s="40"/>
      <c r="C228" s="3"/>
      <c r="D228" s="3" t="s">
        <v>187</v>
      </c>
      <c r="E228" s="3"/>
      <c r="F228" s="24" t="n">
        <f aca="false">G231</f>
        <v>41316.9999999981</v>
      </c>
      <c r="G228" s="24" t="n">
        <v>-245580.870000003</v>
      </c>
    </row>
    <row r="229" customFormat="false" ht="15" hidden="false" customHeight="false" outlineLevel="0" collapsed="false">
      <c r="B229" s="40"/>
      <c r="C229" s="3"/>
      <c r="D229" s="3" t="s">
        <v>188</v>
      </c>
      <c r="E229" s="3"/>
      <c r="F229" s="24" t="n">
        <f aca="false">F90</f>
        <v>170475.510000005</v>
      </c>
      <c r="G229" s="37" t="n">
        <f aca="false">G90</f>
        <v>286897.870000001</v>
      </c>
    </row>
    <row r="230" customFormat="false" ht="15" hidden="false" customHeight="false" outlineLevel="0" collapsed="false">
      <c r="B230" s="40"/>
      <c r="C230" s="3"/>
      <c r="D230" s="36" t="s">
        <v>189</v>
      </c>
      <c r="E230" s="3"/>
      <c r="F230" s="24" t="n">
        <v>0</v>
      </c>
      <c r="G230" s="37" t="n">
        <v>0</v>
      </c>
    </row>
    <row r="231" customFormat="false" ht="27" hidden="false" customHeight="true" outlineLevel="0" collapsed="false">
      <c r="B231" s="81"/>
      <c r="C231" s="79"/>
      <c r="D231" s="145" t="s">
        <v>190</v>
      </c>
      <c r="E231" s="145"/>
      <c r="F231" s="30" t="n">
        <f aca="false">+F228+F229+F230</f>
        <v>211792.510000004</v>
      </c>
      <c r="G231" s="30" t="n">
        <f aca="false">+G228+G229+G230</f>
        <v>41316.9999999981</v>
      </c>
    </row>
    <row r="232" customFormat="false" ht="15" hidden="false" customHeight="false" outlineLevel="0" collapsed="false">
      <c r="B232" s="3"/>
      <c r="C232" s="3"/>
      <c r="D232" s="33"/>
      <c r="E232" s="96"/>
      <c r="F232" s="87"/>
      <c r="G232" s="30"/>
    </row>
    <row r="233" customFormat="false" ht="15" hidden="false" customHeight="false" outlineLevel="0" collapsed="false">
      <c r="B233" s="112" t="s">
        <v>191</v>
      </c>
      <c r="C233" s="146"/>
      <c r="D233" s="146"/>
      <c r="E233" s="147"/>
      <c r="F233" s="148" t="n">
        <f aca="false">+F221+F226+F231</f>
        <v>211792.510000004</v>
      </c>
      <c r="G233" s="148" t="n">
        <f aca="false">+G221+G226+G231</f>
        <v>41316.9999999981</v>
      </c>
    </row>
    <row r="234" customFormat="false" ht="15" hidden="false" customHeight="false" outlineLevel="0" collapsed="false">
      <c r="B234" s="48"/>
      <c r="C234" s="48"/>
      <c r="D234" s="48"/>
      <c r="E234" s="48"/>
      <c r="F234" s="48"/>
      <c r="G234" s="48"/>
    </row>
    <row r="235" customFormat="false" ht="12" hidden="false" customHeight="true" outlineLevel="0" collapsed="false">
      <c r="D235" s="3"/>
      <c r="E235" s="3"/>
      <c r="F235" s="3"/>
      <c r="G235" s="3"/>
    </row>
    <row r="236" customFormat="false" ht="15" hidden="false" customHeight="false" outlineLevel="0" collapsed="false">
      <c r="A236" s="1" t="n">
        <f aca="false">A216+1</f>
        <v>5</v>
      </c>
      <c r="B236" s="102" t="s">
        <v>192</v>
      </c>
      <c r="C236" s="102"/>
      <c r="D236" s="57" t="s">
        <v>193</v>
      </c>
      <c r="E236" s="10"/>
      <c r="F236" s="7" t="s">
        <v>194</v>
      </c>
      <c r="G236" s="7"/>
    </row>
    <row r="237" customFormat="false" ht="15" hidden="false" customHeight="false" outlineLevel="0" collapsed="false">
      <c r="B237" s="149"/>
      <c r="C237" s="149"/>
      <c r="D237" s="12" t="str">
        <f aca="false">F216</f>
        <v>2024-25</v>
      </c>
      <c r="E237" s="10" t="str">
        <f aca="false">G216</f>
        <v>2023-24</v>
      </c>
      <c r="F237" s="150" t="str">
        <f aca="false">F216</f>
        <v>2024-25</v>
      </c>
      <c r="G237" s="151" t="str">
        <f aca="false">E237</f>
        <v>2023-24</v>
      </c>
    </row>
    <row r="238" customFormat="false" ht="15" hidden="false" customHeight="false" outlineLevel="0" collapsed="false">
      <c r="B238" s="102" t="s">
        <v>195</v>
      </c>
      <c r="C238" s="102"/>
      <c r="D238" s="22"/>
      <c r="E238" s="5"/>
      <c r="F238" s="152"/>
      <c r="G238" s="22"/>
    </row>
    <row r="239" customFormat="false" ht="15" hidden="false" customHeight="false" outlineLevel="0" collapsed="false">
      <c r="B239" s="153" t="s">
        <v>196</v>
      </c>
      <c r="C239" s="153"/>
      <c r="D239" s="24"/>
      <c r="E239" s="3"/>
      <c r="F239" s="40"/>
      <c r="G239" s="24"/>
    </row>
    <row r="240" customFormat="false" ht="15" hidden="false" customHeight="false" outlineLevel="0" collapsed="false">
      <c r="B240" s="40" t="s">
        <v>197</v>
      </c>
      <c r="C240" s="40"/>
      <c r="D240" s="24"/>
      <c r="E240" s="154"/>
      <c r="F240" s="40"/>
      <c r="G240" s="24"/>
    </row>
    <row r="241" customFormat="false" ht="15" hidden="false" customHeight="false" outlineLevel="0" collapsed="false">
      <c r="B241" s="40" t="s">
        <v>198</v>
      </c>
      <c r="C241" s="40"/>
      <c r="D241" s="91" t="n">
        <f aca="false">18402220.94-F241</f>
        <v>17747515.94</v>
      </c>
      <c r="E241" s="155" t="n">
        <v>16906078.65</v>
      </c>
      <c r="F241" s="24" t="n">
        <v>654705</v>
      </c>
      <c r="G241" s="24" t="n">
        <v>752605.29</v>
      </c>
    </row>
    <row r="242" customFormat="false" ht="15" hidden="false" customHeight="false" outlineLevel="0" collapsed="false">
      <c r="B242" s="40"/>
      <c r="C242" s="40"/>
      <c r="D242" s="24"/>
      <c r="E242" s="3"/>
      <c r="F242" s="40"/>
      <c r="G242" s="24"/>
    </row>
    <row r="243" customFormat="false" ht="15" hidden="false" customHeight="false" outlineLevel="0" collapsed="false">
      <c r="B243" s="40"/>
      <c r="C243" s="24"/>
      <c r="D243" s="42" t="n">
        <f aca="false">SUM(D238:D242)</f>
        <v>17747515.94</v>
      </c>
      <c r="E243" s="42" t="n">
        <f aca="false">SUM(E238:E242)</f>
        <v>16906078.65</v>
      </c>
      <c r="F243" s="42" t="n">
        <f aca="false">SUM(F238:F242)</f>
        <v>654705</v>
      </c>
      <c r="G243" s="42" t="n">
        <f aca="false">SUM(G238:G242)</f>
        <v>752605.29</v>
      </c>
    </row>
    <row r="244" customFormat="false" ht="15" hidden="false" customHeight="false" outlineLevel="0" collapsed="false">
      <c r="B244" s="40" t="s">
        <v>199</v>
      </c>
      <c r="C244" s="40"/>
      <c r="D244" s="24"/>
      <c r="E244" s="156"/>
      <c r="F244" s="40"/>
      <c r="G244" s="24"/>
    </row>
    <row r="245" customFormat="false" ht="15" hidden="false" customHeight="false" outlineLevel="0" collapsed="false">
      <c r="B245" s="153" t="s">
        <v>200</v>
      </c>
      <c r="C245" s="40"/>
      <c r="D245" s="24"/>
      <c r="E245" s="156"/>
      <c r="F245" s="40"/>
      <c r="G245" s="24"/>
    </row>
    <row r="246" customFormat="false" ht="15" hidden="false" customHeight="false" outlineLevel="0" collapsed="false">
      <c r="B246" s="40"/>
      <c r="C246" s="40"/>
      <c r="D246" s="24"/>
      <c r="E246" s="156"/>
      <c r="F246" s="40"/>
      <c r="G246" s="24"/>
    </row>
    <row r="247" customFormat="false" ht="15" hidden="false" customHeight="false" outlineLevel="0" collapsed="false">
      <c r="B247" s="153" t="s">
        <v>201</v>
      </c>
      <c r="C247" s="153"/>
      <c r="D247" s="24" t="n">
        <f aca="false">SUM(F757:F760)</f>
        <v>59627481</v>
      </c>
      <c r="E247" s="24" t="n">
        <f aca="false">SUM(G757:G760)</f>
        <v>56244231</v>
      </c>
      <c r="F247" s="40"/>
      <c r="G247" s="24"/>
    </row>
    <row r="248" customFormat="false" ht="15" hidden="false" customHeight="false" outlineLevel="0" collapsed="false">
      <c r="B248" s="153"/>
      <c r="C248" s="153"/>
      <c r="D248" s="24"/>
      <c r="E248" s="3"/>
      <c r="F248" s="41"/>
      <c r="G248" s="37"/>
    </row>
    <row r="249" customFormat="false" ht="15" hidden="false" customHeight="false" outlineLevel="0" collapsed="false">
      <c r="B249" s="40"/>
      <c r="C249" s="40"/>
      <c r="D249" s="30" t="n">
        <f aca="false">SUM(D246:D247)</f>
        <v>59627481</v>
      </c>
      <c r="E249" s="42" t="n">
        <f aca="false">SUM(E246:E247)</f>
        <v>56244231</v>
      </c>
      <c r="F249" s="42" t="n">
        <f aca="false">SUM(F246:F247)</f>
        <v>0</v>
      </c>
      <c r="G249" s="42" t="n">
        <f aca="false">SUM(G246:G247)</f>
        <v>0</v>
      </c>
    </row>
    <row r="250" customFormat="false" ht="15" hidden="false" customHeight="false" outlineLevel="0" collapsed="false">
      <c r="B250" s="40"/>
      <c r="C250" s="40"/>
      <c r="D250" s="24"/>
      <c r="E250" s="3"/>
      <c r="F250" s="40"/>
      <c r="G250" s="24"/>
    </row>
    <row r="251" customFormat="false" ht="15" hidden="false" customHeight="false" outlineLevel="0" collapsed="false">
      <c r="B251" s="157"/>
      <c r="C251" s="157"/>
      <c r="D251" s="148" t="n">
        <f aca="false">+D243+D249</f>
        <v>77374996.94</v>
      </c>
      <c r="E251" s="148" t="n">
        <f aca="false">+E243+E249</f>
        <v>73150309.65</v>
      </c>
      <c r="F251" s="148" t="n">
        <f aca="false">+F243+F249</f>
        <v>654705</v>
      </c>
      <c r="G251" s="148" t="n">
        <f aca="false">+G243+G249</f>
        <v>752605.29</v>
      </c>
    </row>
    <row r="252" customFormat="false" ht="3" hidden="false" customHeight="true" outlineLevel="0" collapsed="false">
      <c r="B252" s="152"/>
      <c r="C252" s="152"/>
      <c r="D252" s="22"/>
      <c r="E252" s="5"/>
      <c r="F252" s="22"/>
      <c r="G252" s="43"/>
    </row>
    <row r="253" customFormat="false" ht="15" hidden="false" customHeight="false" outlineLevel="0" collapsed="false">
      <c r="B253" s="40" t="s">
        <v>202</v>
      </c>
      <c r="C253" s="40"/>
      <c r="D253" s="24"/>
      <c r="E253" s="3"/>
      <c r="F253" s="24"/>
      <c r="G253" s="37"/>
    </row>
    <row r="254" customFormat="false" ht="15" hidden="false" customHeight="false" outlineLevel="0" collapsed="false">
      <c r="B254" s="40" t="s">
        <v>203</v>
      </c>
      <c r="C254" s="40"/>
      <c r="D254" s="24" t="n">
        <f aca="false">+D243</f>
        <v>17747515.94</v>
      </c>
      <c r="E254" s="24" t="n">
        <f aca="false">+E243</f>
        <v>16906078.65</v>
      </c>
      <c r="F254" s="24" t="n">
        <f aca="false">+F243</f>
        <v>654705</v>
      </c>
      <c r="G254" s="24" t="n">
        <f aca="false">+G243</f>
        <v>752605.29</v>
      </c>
    </row>
    <row r="255" customFormat="false" ht="15" hidden="false" customHeight="false" outlineLevel="0" collapsed="false">
      <c r="B255" s="40" t="s">
        <v>204</v>
      </c>
      <c r="C255" s="40"/>
      <c r="D255" s="24" t="n">
        <f aca="false">+D249</f>
        <v>59627481</v>
      </c>
      <c r="E255" s="24" t="n">
        <f aca="false">+E249</f>
        <v>56244231</v>
      </c>
      <c r="F255" s="24" t="n">
        <f aca="false">+F249</f>
        <v>0</v>
      </c>
      <c r="G255" s="24" t="n">
        <f aca="false">+G249</f>
        <v>0</v>
      </c>
    </row>
    <row r="256" customFormat="false" ht="25.5" hidden="false" customHeight="true" outlineLevel="0" collapsed="false">
      <c r="B256" s="158" t="s">
        <v>205</v>
      </c>
      <c r="C256" s="158"/>
      <c r="D256" s="24" t="n">
        <v>0</v>
      </c>
      <c r="E256" s="24" t="n">
        <v>0</v>
      </c>
      <c r="F256" s="24" t="n">
        <v>0</v>
      </c>
      <c r="G256" s="24" t="n">
        <v>0</v>
      </c>
    </row>
    <row r="257" customFormat="false" ht="15" hidden="false" customHeight="false" outlineLevel="0" collapsed="false">
      <c r="B257" s="81" t="s">
        <v>206</v>
      </c>
      <c r="C257" s="41"/>
      <c r="D257" s="148" t="n">
        <f aca="false">+D254+D255-D256</f>
        <v>77374996.94</v>
      </c>
      <c r="E257" s="148" t="n">
        <f aca="false">+E254+E255-E256</f>
        <v>73150309.65</v>
      </c>
      <c r="F257" s="148" t="n">
        <f aca="false">+F254+F255-F256</f>
        <v>654705</v>
      </c>
      <c r="G257" s="146" t="n">
        <f aca="false">+G254+G255-G256</f>
        <v>752605.29</v>
      </c>
    </row>
    <row r="258" customFormat="false" ht="8.45" hidden="false" customHeight="true" outlineLevel="0" collapsed="false">
      <c r="B258" s="152"/>
      <c r="C258" s="152"/>
      <c r="D258" s="159"/>
      <c r="E258" s="100"/>
      <c r="F258" s="159"/>
      <c r="G258" s="101"/>
    </row>
    <row r="259" customFormat="false" ht="15" hidden="false" customHeight="false" outlineLevel="0" collapsed="false">
      <c r="B259" s="40" t="s">
        <v>202</v>
      </c>
      <c r="C259" s="40"/>
      <c r="D259" s="89"/>
      <c r="E259" s="48"/>
      <c r="F259" s="89"/>
      <c r="G259" s="94"/>
    </row>
    <row r="260" customFormat="false" ht="15" hidden="false" customHeight="false" outlineLevel="0" collapsed="false">
      <c r="B260" s="40" t="s">
        <v>207</v>
      </c>
      <c r="C260" s="40"/>
      <c r="D260" s="24" t="n">
        <f aca="false">+D254</f>
        <v>17747515.94</v>
      </c>
      <c r="E260" s="3" t="n">
        <f aca="false">+E254</f>
        <v>16906078.65</v>
      </c>
      <c r="F260" s="24" t="n">
        <f aca="false">+F254</f>
        <v>654705</v>
      </c>
      <c r="G260" s="37" t="n">
        <f aca="false">+G254</f>
        <v>752605.29</v>
      </c>
    </row>
    <row r="261" customFormat="false" ht="15" hidden="false" customHeight="false" outlineLevel="0" collapsed="false">
      <c r="B261" s="81" t="s">
        <v>208</v>
      </c>
      <c r="C261" s="81"/>
      <c r="D261" s="41" t="n">
        <v>0</v>
      </c>
      <c r="E261" s="79" t="n">
        <v>0</v>
      </c>
      <c r="F261" s="41" t="n">
        <v>0</v>
      </c>
      <c r="G261" s="54" t="n">
        <f aca="false">+G255</f>
        <v>0</v>
      </c>
    </row>
    <row r="263" customFormat="false" ht="15" hidden="false" customHeight="false" outlineLevel="0" collapsed="false">
      <c r="B263" s="160" t="s">
        <v>209</v>
      </c>
      <c r="C263" s="161"/>
      <c r="D263" s="162"/>
      <c r="E263" s="162"/>
      <c r="F263" s="162"/>
      <c r="G263" s="163"/>
    </row>
    <row r="264" customFormat="false" ht="15" hidden="false" customHeight="false" outlineLevel="0" collapsed="false">
      <c r="B264" s="164"/>
      <c r="C264" s="165"/>
      <c r="D264" s="166"/>
      <c r="E264" s="166"/>
      <c r="F264" s="166"/>
      <c r="G264" s="167"/>
    </row>
    <row r="265" customFormat="false" ht="15" hidden="false" customHeight="false" outlineLevel="0" collapsed="false">
      <c r="B265" s="168" t="s">
        <v>210</v>
      </c>
      <c r="C265" s="169"/>
      <c r="D265" s="166"/>
      <c r="E265" s="166"/>
      <c r="F265" s="166"/>
      <c r="G265" s="167"/>
    </row>
    <row r="266" customFormat="false" ht="57.75" hidden="false" customHeight="true" outlineLevel="0" collapsed="false">
      <c r="B266" s="158" t="s">
        <v>211</v>
      </c>
      <c r="C266" s="158"/>
      <c r="D266" s="158"/>
      <c r="E266" s="158"/>
      <c r="F266" s="158"/>
      <c r="G266" s="158"/>
    </row>
    <row r="267" customFormat="false" ht="26.25" hidden="false" customHeight="true" outlineLevel="0" collapsed="false">
      <c r="B267" s="158" t="s">
        <v>212</v>
      </c>
      <c r="C267" s="158"/>
      <c r="D267" s="158"/>
      <c r="E267" s="158"/>
      <c r="F267" s="158"/>
      <c r="G267" s="158"/>
    </row>
    <row r="268" customFormat="false" ht="15" hidden="false" customHeight="true" outlineLevel="0" collapsed="false">
      <c r="B268" s="70"/>
      <c r="C268" s="170"/>
      <c r="D268" s="170"/>
      <c r="E268" s="170"/>
      <c r="F268" s="170"/>
      <c r="G268" s="171"/>
    </row>
    <row r="269" customFormat="false" ht="7.5" hidden="false" customHeight="true" outlineLevel="0" collapsed="false">
      <c r="B269" s="172"/>
      <c r="C269" s="172"/>
    </row>
    <row r="270" customFormat="false" ht="4.5" hidden="false" customHeight="true" outlineLevel="0" collapsed="false"/>
    <row r="271" customFormat="false" ht="1.5" hidden="false" customHeight="true" outlineLevel="0" collapsed="false"/>
    <row r="272" customFormat="false" ht="15" hidden="false" customHeight="false" outlineLevel="0" collapsed="false">
      <c r="A272" s="1" t="n">
        <f aca="false">A236+1</f>
        <v>6</v>
      </c>
      <c r="B272" s="102" t="s">
        <v>213</v>
      </c>
      <c r="C272" s="103"/>
      <c r="D272" s="5"/>
      <c r="E272" s="43"/>
      <c r="F272" s="12" t="str">
        <f aca="false">D237</f>
        <v>2024-25</v>
      </c>
      <c r="G272" s="12" t="str">
        <f aca="false">E237</f>
        <v>2023-24</v>
      </c>
    </row>
    <row r="273" customFormat="false" ht="15" hidden="false" customHeight="false" outlineLevel="0" collapsed="false">
      <c r="B273" s="81"/>
      <c r="C273" s="79"/>
      <c r="D273" s="79"/>
      <c r="E273" s="54"/>
      <c r="F273" s="20" t="str">
        <f aca="false">F174</f>
        <v>Rs.</v>
      </c>
      <c r="G273" s="20" t="str">
        <f aca="false">G174</f>
        <v>Rs.</v>
      </c>
    </row>
    <row r="274" customFormat="false" ht="15" hidden="false" customHeight="false" outlineLevel="0" collapsed="false">
      <c r="B274" s="152" t="s">
        <v>214</v>
      </c>
      <c r="C274" s="5"/>
      <c r="D274" s="5"/>
      <c r="E274" s="43"/>
      <c r="F274" s="22"/>
      <c r="G274" s="22"/>
    </row>
    <row r="275" customFormat="false" ht="13.5" hidden="false" customHeight="false" outlineLevel="0" collapsed="false">
      <c r="A275" s="173"/>
      <c r="B275" s="40"/>
      <c r="C275" s="3"/>
      <c r="D275" s="3"/>
      <c r="E275" s="37"/>
      <c r="F275" s="24" t="n">
        <v>0</v>
      </c>
      <c r="G275" s="24" t="n">
        <v>0</v>
      </c>
    </row>
    <row r="276" customFormat="false" ht="13.5" hidden="false" customHeight="false" outlineLevel="0" collapsed="false">
      <c r="A276" s="173"/>
      <c r="B276" s="40" t="s">
        <v>215</v>
      </c>
      <c r="C276" s="3"/>
      <c r="D276" s="3"/>
      <c r="E276" s="37"/>
      <c r="F276" s="66" t="n">
        <v>0</v>
      </c>
      <c r="G276" s="41"/>
    </row>
    <row r="277" customFormat="false" ht="13.5" hidden="false" customHeight="false" outlineLevel="0" collapsed="false">
      <c r="A277" s="173"/>
      <c r="B277" s="40"/>
      <c r="C277" s="3"/>
      <c r="D277" s="3"/>
      <c r="E277" s="37"/>
      <c r="F277" s="73" t="n">
        <f aca="false">SUM(F275:F276)</f>
        <v>0</v>
      </c>
      <c r="G277" s="73" t="n">
        <f aca="false">SUM(G275:G276)</f>
        <v>0</v>
      </c>
    </row>
    <row r="278" customFormat="false" ht="13.5" hidden="false" customHeight="false" outlineLevel="0" collapsed="false">
      <c r="A278" s="173"/>
      <c r="B278" s="40" t="s">
        <v>216</v>
      </c>
      <c r="C278" s="3"/>
      <c r="D278" s="3"/>
      <c r="E278" s="37"/>
      <c r="F278" s="66"/>
      <c r="G278" s="74"/>
    </row>
    <row r="279" customFormat="false" ht="13.5" hidden="false" customHeight="false" outlineLevel="0" collapsed="false">
      <c r="A279" s="173"/>
      <c r="B279" s="40" t="s">
        <v>217</v>
      </c>
      <c r="C279" s="3"/>
      <c r="D279" s="3"/>
      <c r="E279" s="37"/>
      <c r="F279" s="66"/>
      <c r="G279" s="74" t="n">
        <v>0</v>
      </c>
    </row>
    <row r="280" customFormat="false" ht="13.5" hidden="false" customHeight="false" outlineLevel="0" collapsed="false">
      <c r="A280" s="173"/>
      <c r="B280" s="40"/>
      <c r="C280" s="40" t="s">
        <v>218</v>
      </c>
      <c r="E280" s="37"/>
      <c r="F280" s="66" t="n">
        <v>0</v>
      </c>
      <c r="G280" s="66" t="n">
        <v>340000</v>
      </c>
    </row>
    <row r="281" customFormat="false" ht="13.5" hidden="false" customHeight="false" outlineLevel="0" collapsed="false">
      <c r="A281" s="173"/>
      <c r="B281" s="40"/>
      <c r="C281" s="3"/>
      <c r="D281" s="3"/>
      <c r="E281" s="37"/>
      <c r="F281" s="73" t="n">
        <f aca="false">SUM(F279:F280)</f>
        <v>0</v>
      </c>
      <c r="G281" s="73" t="n">
        <f aca="false">SUM(G279:G280)</f>
        <v>340000</v>
      </c>
    </row>
    <row r="282" customFormat="false" ht="15" hidden="false" customHeight="false" outlineLevel="0" collapsed="false">
      <c r="A282" s="173"/>
      <c r="B282" s="81"/>
      <c r="C282" s="79"/>
      <c r="D282" s="79" t="s">
        <v>219</v>
      </c>
      <c r="E282" s="54"/>
      <c r="F282" s="174" t="n">
        <f aca="false">+F277-F281</f>
        <v>0</v>
      </c>
      <c r="G282" s="174" t="n">
        <f aca="false">+G277-G281</f>
        <v>-340000</v>
      </c>
    </row>
    <row r="283" customFormat="false" ht="15" hidden="false" customHeight="false" outlineLevel="0" collapsed="false">
      <c r="A283" s="173"/>
      <c r="B283" s="3"/>
      <c r="C283" s="3"/>
      <c r="D283" s="3"/>
      <c r="E283" s="3"/>
      <c r="F283" s="175"/>
      <c r="G283" s="175"/>
    </row>
    <row r="284" customFormat="false" ht="131.25" hidden="false" customHeight="true" outlineLevel="0" collapsed="false">
      <c r="A284" s="173"/>
      <c r="B284" s="176" t="s">
        <v>220</v>
      </c>
      <c r="C284" s="176"/>
      <c r="D284" s="176"/>
      <c r="E284" s="176"/>
      <c r="F284" s="176"/>
      <c r="G284" s="176"/>
    </row>
    <row r="285" customFormat="false" ht="13.5" hidden="false" customHeight="true" outlineLevel="0" collapsed="false">
      <c r="A285" s="1" t="n">
        <f aca="false">+A272+1</f>
        <v>7</v>
      </c>
      <c r="B285" s="102" t="s">
        <v>221</v>
      </c>
      <c r="C285" s="103"/>
      <c r="D285" s="5"/>
      <c r="E285" s="43"/>
      <c r="F285" s="177" t="str">
        <f aca="false">F272</f>
        <v>2024-25</v>
      </c>
      <c r="G285" s="177" t="str">
        <f aca="false">G272</f>
        <v>2023-24</v>
      </c>
    </row>
    <row r="286" customFormat="false" ht="13.5" hidden="false" customHeight="true" outlineLevel="0" collapsed="false">
      <c r="B286" s="81"/>
      <c r="C286" s="79"/>
      <c r="D286" s="79"/>
      <c r="E286" s="54"/>
      <c r="F286" s="20" t="str">
        <f aca="false">F273</f>
        <v>Rs.</v>
      </c>
      <c r="G286" s="20" t="str">
        <f aca="false">G273</f>
        <v>Rs.</v>
      </c>
    </row>
    <row r="287" customFormat="false" ht="13.5" hidden="false" customHeight="true" outlineLevel="0" collapsed="false">
      <c r="B287" s="152" t="s">
        <v>222</v>
      </c>
      <c r="C287" s="5"/>
      <c r="D287" s="5"/>
      <c r="E287" s="43"/>
      <c r="F287" s="178"/>
      <c r="G287" s="178"/>
    </row>
    <row r="288" customFormat="false" ht="13.5" hidden="false" customHeight="true" outlineLevel="0" collapsed="false">
      <c r="B288" s="40" t="s">
        <v>223</v>
      </c>
      <c r="C288" s="3"/>
      <c r="D288" s="3"/>
      <c r="E288" s="37"/>
      <c r="F288" s="74"/>
      <c r="G288" s="74"/>
    </row>
    <row r="289" customFormat="false" ht="13.5" hidden="false" customHeight="true" outlineLevel="0" collapsed="false">
      <c r="B289" s="179" t="s">
        <v>224</v>
      </c>
      <c r="C289" s="3"/>
      <c r="D289" s="3"/>
      <c r="E289" s="37"/>
      <c r="F289" s="74" t="n">
        <f aca="false">+F243</f>
        <v>654705</v>
      </c>
      <c r="G289" s="74" t="n">
        <f aca="false">+G243</f>
        <v>752605.29</v>
      </c>
    </row>
    <row r="290" customFormat="false" ht="13.5" hidden="false" customHeight="true" outlineLevel="0" collapsed="false">
      <c r="B290" s="40"/>
      <c r="C290" s="3"/>
      <c r="D290" s="144"/>
      <c r="E290" s="37"/>
      <c r="F290" s="74"/>
      <c r="G290" s="74"/>
    </row>
    <row r="291" customFormat="false" ht="13.5" hidden="false" customHeight="true" outlineLevel="0" collapsed="false">
      <c r="B291" s="40"/>
      <c r="C291" s="3"/>
      <c r="D291" s="144"/>
      <c r="E291" s="37"/>
      <c r="F291" s="74"/>
      <c r="G291" s="74"/>
    </row>
    <row r="292" customFormat="false" ht="13.5" hidden="false" customHeight="true" outlineLevel="0" collapsed="false">
      <c r="B292" s="40"/>
      <c r="C292" s="3"/>
      <c r="D292" s="3"/>
      <c r="E292" s="37"/>
      <c r="F292" s="180" t="n">
        <f aca="false">SUM(F287:F290)</f>
        <v>654705</v>
      </c>
      <c r="G292" s="180" t="n">
        <f aca="false">SUM(G287:G290)</f>
        <v>752605.29</v>
      </c>
    </row>
    <row r="293" customFormat="false" ht="13.5" hidden="false" customHeight="true" outlineLevel="0" collapsed="false">
      <c r="B293" s="40" t="s">
        <v>202</v>
      </c>
      <c r="C293" s="3"/>
      <c r="D293" s="3" t="s">
        <v>203</v>
      </c>
      <c r="E293" s="37"/>
      <c r="F293" s="3"/>
      <c r="G293" s="3"/>
    </row>
    <row r="294" customFormat="false" ht="13.5" hidden="false" customHeight="true" outlineLevel="0" collapsed="false">
      <c r="B294" s="40" t="s">
        <v>202</v>
      </c>
      <c r="C294" s="40"/>
      <c r="D294" s="48"/>
      <c r="E294" s="94"/>
      <c r="F294" s="89"/>
      <c r="G294" s="94"/>
    </row>
    <row r="295" customFormat="false" ht="13.5" hidden="false" customHeight="true" outlineLevel="0" collapsed="false">
      <c r="B295" s="40" t="s">
        <v>207</v>
      </c>
      <c r="C295" s="40"/>
      <c r="D295" s="3"/>
      <c r="E295" s="37"/>
      <c r="F295" s="37" t="n">
        <f aca="false">+F292-F290</f>
        <v>654705</v>
      </c>
      <c r="G295" s="37" t="n">
        <f aca="false">+G292-G290</f>
        <v>752605.29</v>
      </c>
    </row>
    <row r="296" customFormat="false" ht="13.5" hidden="false" customHeight="true" outlineLevel="0" collapsed="false">
      <c r="B296" s="81" t="s">
        <v>208</v>
      </c>
      <c r="C296" s="81"/>
      <c r="D296" s="79"/>
      <c r="E296" s="54"/>
      <c r="F296" s="41" t="n">
        <v>0</v>
      </c>
      <c r="G296" s="54" t="n">
        <v>0</v>
      </c>
    </row>
    <row r="297" customFormat="false" ht="13.5" hidden="false" customHeight="true" outlineLevel="0" collapsed="false"/>
    <row r="298" customFormat="false" ht="13.5" hidden="false" customHeight="true" outlineLevel="0" collapsed="false">
      <c r="A298" s="1" t="n">
        <f aca="false">+A285+1</f>
        <v>8</v>
      </c>
      <c r="B298" s="181" t="s">
        <v>225</v>
      </c>
      <c r="C298" s="102"/>
      <c r="D298" s="182" t="str">
        <f aca="false">F285</f>
        <v>2024-25</v>
      </c>
      <c r="E298" s="182"/>
      <c r="F298" s="182"/>
      <c r="G298" s="182"/>
    </row>
    <row r="299" customFormat="false" ht="13.5" hidden="false" customHeight="true" outlineLevel="0" collapsed="false">
      <c r="B299" s="41"/>
      <c r="C299" s="40"/>
      <c r="D299" s="182"/>
      <c r="E299" s="182"/>
      <c r="F299" s="182"/>
      <c r="G299" s="182"/>
    </row>
    <row r="300" customFormat="false" ht="13.5" hidden="false" customHeight="true" outlineLevel="0" collapsed="false">
      <c r="B300" s="41" t="s">
        <v>7</v>
      </c>
      <c r="C300" s="30"/>
      <c r="D300" s="183" t="s">
        <v>226</v>
      </c>
      <c r="E300" s="183"/>
      <c r="F300" s="183"/>
      <c r="G300" s="184"/>
    </row>
    <row r="301" customFormat="false" ht="13.5" hidden="false" customHeight="true" outlineLevel="0" collapsed="false">
      <c r="B301" s="24"/>
      <c r="C301" s="12" t="s">
        <v>227</v>
      </c>
      <c r="D301" s="185" t="s">
        <v>228</v>
      </c>
      <c r="E301" s="185" t="s">
        <v>229</v>
      </c>
      <c r="F301" s="185" t="s">
        <v>230</v>
      </c>
      <c r="G301" s="12" t="s">
        <v>179</v>
      </c>
    </row>
    <row r="302" customFormat="false" ht="13.5" hidden="false" customHeight="true" outlineLevel="0" collapsed="false">
      <c r="B302" s="24" t="s">
        <v>231</v>
      </c>
      <c r="C302" s="186" t="n">
        <v>0</v>
      </c>
      <c r="D302" s="24" t="n">
        <v>0</v>
      </c>
      <c r="E302" s="24" t="n">
        <v>0</v>
      </c>
      <c r="F302" s="2" t="n">
        <v>0</v>
      </c>
      <c r="G302" s="24" t="n">
        <f aca="false">SUM(C302:F302)</f>
        <v>0</v>
      </c>
    </row>
    <row r="303" customFormat="false" ht="13.5" hidden="false" customHeight="true" outlineLevel="0" collapsed="false">
      <c r="B303" s="24" t="s">
        <v>232</v>
      </c>
      <c r="C303" s="2" t="n">
        <v>0</v>
      </c>
      <c r="D303" s="24" t="n">
        <f aca="false">1854719+46750-150779</f>
        <v>1750690</v>
      </c>
      <c r="E303" s="24" t="n">
        <v>0</v>
      </c>
      <c r="F303" s="2" t="n">
        <v>150779</v>
      </c>
      <c r="G303" s="24" t="n">
        <f aca="false">SUM(C303:F303)</f>
        <v>1901469</v>
      </c>
      <c r="I303" s="3" t="n">
        <f aca="false">+F311-F303</f>
        <v>158072</v>
      </c>
    </row>
    <row r="304" customFormat="false" ht="13.5" hidden="false" customHeight="true" outlineLevel="0" collapsed="false">
      <c r="B304" s="187" t="s">
        <v>179</v>
      </c>
      <c r="C304" s="30" t="n">
        <f aca="false">SUM(C302:C303)</f>
        <v>0</v>
      </c>
      <c r="D304" s="30" t="n">
        <f aca="false">SUM(D302:D303)</f>
        <v>1750690</v>
      </c>
      <c r="E304" s="30" t="n">
        <f aca="false">SUM(E302:E303)</f>
        <v>0</v>
      </c>
      <c r="F304" s="30" t="n">
        <f aca="false">SUM(F302:F303)</f>
        <v>150779</v>
      </c>
      <c r="G304" s="30" t="n">
        <f aca="false">SUM(G302:G303)</f>
        <v>1901469</v>
      </c>
    </row>
    <row r="305" customFormat="false" ht="13.5" hidden="false" customHeight="true" outlineLevel="0" collapsed="false"/>
    <row r="306" customFormat="false" ht="13.5" hidden="false" customHeight="true" outlineLevel="0" collapsed="false">
      <c r="B306" s="102" t="s">
        <v>225</v>
      </c>
      <c r="C306" s="102"/>
      <c r="D306" s="188" t="str">
        <f aca="false">G285</f>
        <v>2023-24</v>
      </c>
      <c r="E306" s="188"/>
      <c r="F306" s="188"/>
      <c r="G306" s="188"/>
    </row>
    <row r="307" customFormat="false" ht="13.5" hidden="false" customHeight="true" outlineLevel="0" collapsed="false">
      <c r="B307" s="81"/>
      <c r="C307" s="81"/>
      <c r="D307" s="188"/>
      <c r="E307" s="188"/>
      <c r="F307" s="188"/>
      <c r="G307" s="188"/>
    </row>
    <row r="308" customFormat="false" ht="13.5" hidden="false" customHeight="true" outlineLevel="0" collapsed="false">
      <c r="B308" s="30" t="s">
        <v>7</v>
      </c>
      <c r="C308" s="30"/>
      <c r="D308" s="183" t="s">
        <v>233</v>
      </c>
      <c r="E308" s="183"/>
      <c r="F308" s="183"/>
      <c r="G308" s="184"/>
    </row>
    <row r="309" customFormat="false" ht="13.5" hidden="false" customHeight="true" outlineLevel="0" collapsed="false">
      <c r="B309" s="24"/>
      <c r="C309" s="12" t="s">
        <v>227</v>
      </c>
      <c r="D309" s="116" t="s">
        <v>228</v>
      </c>
      <c r="E309" s="116" t="s">
        <v>229</v>
      </c>
      <c r="F309" s="116" t="s">
        <v>230</v>
      </c>
      <c r="G309" s="12" t="s">
        <v>179</v>
      </c>
    </row>
    <row r="310" customFormat="false" ht="13.5" hidden="false" customHeight="true" outlineLevel="0" collapsed="false">
      <c r="B310" s="24" t="s">
        <v>231</v>
      </c>
      <c r="C310" s="3" t="n">
        <v>0</v>
      </c>
      <c r="D310" s="24" t="n">
        <v>0</v>
      </c>
      <c r="E310" s="24" t="n">
        <v>0</v>
      </c>
      <c r="F310" s="2" t="n">
        <v>0</v>
      </c>
      <c r="G310" s="24" t="n">
        <f aca="false">SUM(C310:F310)</f>
        <v>0</v>
      </c>
    </row>
    <row r="311" customFormat="false" ht="13.5" hidden="false" customHeight="true" outlineLevel="0" collapsed="false">
      <c r="B311" s="24" t="s">
        <v>232</v>
      </c>
      <c r="C311" s="2" t="n">
        <v>0</v>
      </c>
      <c r="D311" s="24" t="n">
        <v>2901848.69</v>
      </c>
      <c r="E311" s="24" t="n">
        <v>0</v>
      </c>
      <c r="F311" s="2" t="n">
        <v>308851</v>
      </c>
      <c r="G311" s="24" t="n">
        <f aca="false">SUM(C311:F311)</f>
        <v>3210699.69</v>
      </c>
    </row>
    <row r="312" customFormat="false" ht="13.5" hidden="false" customHeight="true" outlineLevel="0" collapsed="false">
      <c r="B312" s="30" t="s">
        <v>179</v>
      </c>
      <c r="C312" s="30" t="n">
        <f aca="false">SUM(C310:C311)</f>
        <v>0</v>
      </c>
      <c r="D312" s="30" t="n">
        <f aca="false">SUM(D310:D311)</f>
        <v>2901848.69</v>
      </c>
      <c r="E312" s="30" t="n">
        <f aca="false">SUM(E310:E311)</f>
        <v>0</v>
      </c>
      <c r="F312" s="30" t="n">
        <f aca="false">SUM(F310:F311)</f>
        <v>308851</v>
      </c>
      <c r="G312" s="30" t="n">
        <f aca="false">SUM(G310:G311)</f>
        <v>3210699.69</v>
      </c>
    </row>
    <row r="313" customFormat="false" ht="13.5" hidden="false" customHeight="true" outlineLevel="0" collapsed="false"/>
    <row r="314" s="190" customFormat="true" ht="15" hidden="false" customHeight="false" outlineLevel="0" collapsed="false">
      <c r="A314" s="1" t="n">
        <f aca="false">+A298+1</f>
        <v>9</v>
      </c>
      <c r="B314" s="102" t="s">
        <v>234</v>
      </c>
      <c r="C314" s="103"/>
      <c r="D314" s="100"/>
      <c r="E314" s="43"/>
      <c r="F314" s="12" t="str">
        <f aca="false">F285</f>
        <v>2024-25</v>
      </c>
      <c r="G314" s="12" t="str">
        <f aca="false">G285</f>
        <v>2023-24</v>
      </c>
      <c r="H314" s="189"/>
      <c r="I314" s="189"/>
      <c r="J314" s="189"/>
      <c r="K314" s="189"/>
      <c r="L314" s="189"/>
      <c r="M314" s="189"/>
      <c r="N314" s="189"/>
      <c r="O314" s="189"/>
      <c r="P314" s="189"/>
      <c r="Q314" s="189"/>
      <c r="R314" s="189"/>
      <c r="S314" s="189"/>
      <c r="T314" s="189"/>
      <c r="U314" s="189"/>
      <c r="V314" s="189"/>
      <c r="W314" s="189"/>
      <c r="X314" s="189"/>
      <c r="Y314" s="189"/>
      <c r="Z314" s="189"/>
      <c r="AA314" s="189"/>
      <c r="AB314" s="189"/>
      <c r="AC314" s="189"/>
      <c r="AD314" s="189"/>
      <c r="AE314" s="189"/>
      <c r="AF314" s="189"/>
      <c r="AG314" s="189"/>
      <c r="AH314" s="189"/>
      <c r="AI314" s="189"/>
      <c r="AJ314" s="189"/>
      <c r="AK314" s="189"/>
      <c r="AL314" s="189"/>
      <c r="AM314" s="189"/>
      <c r="AN314" s="189"/>
      <c r="AO314" s="189"/>
      <c r="AP314" s="189"/>
      <c r="AQ314" s="189"/>
      <c r="AR314" s="189"/>
      <c r="AS314" s="189"/>
      <c r="AT314" s="189"/>
      <c r="AU314" s="189"/>
      <c r="AV314" s="189"/>
      <c r="AW314" s="189"/>
      <c r="AX314" s="189"/>
      <c r="AY314" s="189"/>
      <c r="AZ314" s="189"/>
      <c r="BA314" s="189"/>
      <c r="BB314" s="189"/>
      <c r="BC314" s="189"/>
      <c r="BD314" s="189"/>
      <c r="BE314" s="189"/>
      <c r="BF314" s="189"/>
      <c r="BG314" s="189"/>
      <c r="BH314" s="189"/>
      <c r="BI314" s="189"/>
      <c r="BJ314" s="189"/>
      <c r="BK314" s="189"/>
      <c r="BL314" s="189"/>
      <c r="BM314" s="189"/>
      <c r="BN314" s="189"/>
      <c r="BO314" s="189"/>
      <c r="BP314" s="189"/>
      <c r="BQ314" s="189"/>
      <c r="BR314" s="189"/>
      <c r="BS314" s="189"/>
      <c r="BT314" s="189"/>
      <c r="BU314" s="189"/>
      <c r="BV314" s="189"/>
      <c r="BW314" s="189"/>
      <c r="BX314" s="189"/>
      <c r="BY314" s="189"/>
      <c r="BZ314" s="189"/>
      <c r="CA314" s="189"/>
    </row>
    <row r="315" s="190" customFormat="true" ht="15" hidden="false" customHeight="false" outlineLevel="0" collapsed="false">
      <c r="A315" s="1"/>
      <c r="B315" s="81"/>
      <c r="C315" s="79"/>
      <c r="D315" s="79"/>
      <c r="E315" s="54"/>
      <c r="F315" s="20" t="str">
        <f aca="false">F286</f>
        <v>Rs.</v>
      </c>
      <c r="G315" s="20" t="str">
        <f aca="false">G286</f>
        <v>Rs.</v>
      </c>
      <c r="H315" s="189"/>
      <c r="I315" s="189"/>
      <c r="J315" s="189"/>
      <c r="K315" s="189"/>
      <c r="L315" s="189"/>
      <c r="M315" s="189"/>
      <c r="N315" s="189"/>
      <c r="O315" s="189"/>
      <c r="P315" s="189"/>
      <c r="Q315" s="189"/>
      <c r="R315" s="189"/>
      <c r="S315" s="189"/>
      <c r="T315" s="189"/>
      <c r="U315" s="189"/>
      <c r="V315" s="189"/>
      <c r="W315" s="189"/>
      <c r="X315" s="189"/>
      <c r="Y315" s="189"/>
      <c r="Z315" s="189"/>
      <c r="AA315" s="189"/>
      <c r="AB315" s="189"/>
      <c r="AC315" s="189"/>
      <c r="AD315" s="189"/>
      <c r="AE315" s="189"/>
      <c r="AF315" s="189"/>
      <c r="AG315" s="189"/>
      <c r="AH315" s="189"/>
      <c r="AI315" s="189"/>
      <c r="AJ315" s="189"/>
      <c r="AK315" s="189"/>
      <c r="AL315" s="189"/>
      <c r="AM315" s="189"/>
      <c r="AN315" s="189"/>
      <c r="AO315" s="189"/>
      <c r="AP315" s="189"/>
      <c r="AQ315" s="189"/>
      <c r="AR315" s="189"/>
      <c r="AS315" s="189"/>
      <c r="AT315" s="189"/>
      <c r="AU315" s="189"/>
      <c r="AV315" s="189"/>
      <c r="AW315" s="189"/>
      <c r="AX315" s="189"/>
      <c r="AY315" s="189"/>
      <c r="AZ315" s="189"/>
      <c r="BA315" s="189"/>
      <c r="BB315" s="189"/>
      <c r="BC315" s="189"/>
      <c r="BD315" s="189"/>
      <c r="BE315" s="189"/>
      <c r="BF315" s="189"/>
      <c r="BG315" s="189"/>
      <c r="BH315" s="189"/>
      <c r="BI315" s="189"/>
      <c r="BJ315" s="189"/>
      <c r="BK315" s="189"/>
      <c r="BL315" s="189"/>
      <c r="BM315" s="189"/>
      <c r="BN315" s="189"/>
      <c r="BO315" s="189"/>
      <c r="BP315" s="189"/>
      <c r="BQ315" s="189"/>
      <c r="BR315" s="189"/>
      <c r="BS315" s="189"/>
      <c r="BT315" s="189"/>
      <c r="BU315" s="189"/>
      <c r="BV315" s="189"/>
      <c r="BW315" s="189"/>
      <c r="BX315" s="189"/>
      <c r="BY315" s="189"/>
      <c r="BZ315" s="189"/>
      <c r="CA315" s="189"/>
    </row>
    <row r="316" s="190" customFormat="true" ht="15" hidden="false" customHeight="false" outlineLevel="0" collapsed="false">
      <c r="A316" s="1"/>
      <c r="B316" s="40"/>
      <c r="C316" s="3"/>
      <c r="D316" s="3"/>
      <c r="E316" s="37"/>
      <c r="F316" s="143"/>
      <c r="G316" s="143"/>
      <c r="H316" s="189"/>
      <c r="I316" s="189"/>
      <c r="J316" s="189"/>
      <c r="K316" s="189"/>
      <c r="L316" s="189"/>
      <c r="M316" s="189"/>
      <c r="N316" s="189"/>
      <c r="O316" s="189"/>
      <c r="P316" s="189"/>
      <c r="Q316" s="189"/>
      <c r="R316" s="189"/>
      <c r="S316" s="189"/>
      <c r="T316" s="189"/>
      <c r="U316" s="189"/>
      <c r="V316" s="189"/>
      <c r="W316" s="189"/>
      <c r="X316" s="189"/>
      <c r="Y316" s="189"/>
      <c r="Z316" s="189"/>
      <c r="AA316" s="189"/>
      <c r="AB316" s="189"/>
      <c r="AC316" s="189"/>
      <c r="AD316" s="189"/>
      <c r="AE316" s="189"/>
      <c r="AF316" s="189"/>
      <c r="AG316" s="189"/>
      <c r="AH316" s="189"/>
      <c r="AI316" s="189"/>
      <c r="AJ316" s="189"/>
      <c r="AK316" s="189"/>
      <c r="AL316" s="189"/>
      <c r="AM316" s="189"/>
      <c r="AN316" s="189"/>
      <c r="AO316" s="189"/>
      <c r="AP316" s="189"/>
      <c r="AQ316" s="189"/>
      <c r="AR316" s="189"/>
      <c r="AS316" s="189"/>
      <c r="AT316" s="189"/>
      <c r="AU316" s="189"/>
      <c r="AV316" s="189"/>
      <c r="AW316" s="189"/>
      <c r="AX316" s="189"/>
      <c r="AY316" s="189"/>
      <c r="AZ316" s="189"/>
      <c r="BA316" s="189"/>
      <c r="BB316" s="189"/>
      <c r="BC316" s="189"/>
      <c r="BD316" s="189"/>
      <c r="BE316" s="189"/>
      <c r="BF316" s="189"/>
      <c r="BG316" s="189"/>
      <c r="BH316" s="189"/>
      <c r="BI316" s="189"/>
      <c r="BJ316" s="189"/>
      <c r="BK316" s="189"/>
      <c r="BL316" s="189"/>
      <c r="BM316" s="189"/>
      <c r="BN316" s="189"/>
      <c r="BO316" s="189"/>
      <c r="BP316" s="189"/>
      <c r="BQ316" s="189"/>
      <c r="BR316" s="189"/>
      <c r="BS316" s="189"/>
      <c r="BT316" s="189"/>
      <c r="BU316" s="189"/>
      <c r="BV316" s="189"/>
      <c r="BW316" s="189"/>
      <c r="BX316" s="189"/>
      <c r="BY316" s="189"/>
      <c r="BZ316" s="189"/>
      <c r="CA316" s="189"/>
    </row>
    <row r="317" s="190" customFormat="true" ht="15" hidden="false" customHeight="false" outlineLevel="0" collapsed="false">
      <c r="A317" s="105"/>
      <c r="B317" s="15" t="s">
        <v>235</v>
      </c>
      <c r="C317" s="14"/>
      <c r="D317" s="3"/>
      <c r="E317" s="37"/>
      <c r="F317" s="24" t="n">
        <v>359392</v>
      </c>
      <c r="G317" s="24" t="n">
        <v>213374</v>
      </c>
      <c r="H317" s="189"/>
      <c r="I317" s="189"/>
      <c r="J317" s="189"/>
      <c r="K317" s="189"/>
      <c r="L317" s="189"/>
      <c r="M317" s="189"/>
      <c r="N317" s="189"/>
      <c r="O317" s="18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c r="AL317" s="189"/>
      <c r="AM317" s="189"/>
      <c r="AN317" s="189"/>
      <c r="AO317" s="189"/>
      <c r="AP317" s="189"/>
      <c r="AQ317" s="189"/>
      <c r="AR317" s="189"/>
      <c r="AS317" s="189"/>
      <c r="AT317" s="189"/>
      <c r="AU317" s="189"/>
      <c r="AV317" s="189"/>
      <c r="AW317" s="189"/>
      <c r="AX317" s="189"/>
      <c r="AY317" s="189"/>
      <c r="AZ317" s="189"/>
      <c r="BA317" s="189"/>
      <c r="BB317" s="189"/>
      <c r="BC317" s="189"/>
      <c r="BD317" s="189"/>
      <c r="BE317" s="189"/>
      <c r="BF317" s="189"/>
      <c r="BG317" s="189"/>
      <c r="BH317" s="189"/>
      <c r="BI317" s="189"/>
      <c r="BJ317" s="189"/>
      <c r="BK317" s="189"/>
      <c r="BL317" s="189"/>
      <c r="BM317" s="189"/>
      <c r="BN317" s="189"/>
      <c r="BO317" s="189"/>
      <c r="BP317" s="189"/>
      <c r="BQ317" s="189"/>
      <c r="BR317" s="189"/>
      <c r="BS317" s="189"/>
      <c r="BT317" s="189"/>
      <c r="BU317" s="189"/>
      <c r="BV317" s="189"/>
      <c r="BW317" s="189"/>
      <c r="BX317" s="189"/>
      <c r="BY317" s="189"/>
      <c r="BZ317" s="189"/>
      <c r="CA317" s="189"/>
    </row>
    <row r="318" s="190" customFormat="true" ht="15" hidden="false" customHeight="false" outlineLevel="0" collapsed="false">
      <c r="A318" s="1"/>
      <c r="B318" s="168" t="s">
        <v>236</v>
      </c>
      <c r="C318" s="169"/>
      <c r="D318" s="3"/>
      <c r="E318" s="37"/>
      <c r="F318" s="24" t="n">
        <f aca="false">70000+467000</f>
        <v>537000</v>
      </c>
      <c r="G318" s="24" t="n">
        <v>100000</v>
      </c>
      <c r="H318" s="189"/>
      <c r="I318" s="189"/>
      <c r="J318" s="189"/>
      <c r="K318" s="189"/>
      <c r="L318" s="189"/>
      <c r="M318" s="189"/>
      <c r="N318" s="189"/>
      <c r="O318" s="18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c r="AL318" s="189"/>
      <c r="AM318" s="189"/>
      <c r="AN318" s="189"/>
      <c r="AO318" s="189"/>
      <c r="AP318" s="189"/>
      <c r="AQ318" s="189"/>
      <c r="AR318" s="189"/>
      <c r="AS318" s="189"/>
      <c r="AT318" s="189"/>
      <c r="AU318" s="189"/>
      <c r="AV318" s="189"/>
      <c r="AW318" s="189"/>
      <c r="AX318" s="189"/>
      <c r="AY318" s="189"/>
      <c r="AZ318" s="189"/>
      <c r="BA318" s="189"/>
      <c r="BB318" s="189"/>
      <c r="BC318" s="189"/>
      <c r="BD318" s="189"/>
      <c r="BE318" s="189"/>
      <c r="BF318" s="189"/>
      <c r="BG318" s="189"/>
      <c r="BH318" s="189"/>
      <c r="BI318" s="189"/>
      <c r="BJ318" s="189"/>
      <c r="BK318" s="189"/>
      <c r="BL318" s="189"/>
      <c r="BM318" s="189"/>
      <c r="BN318" s="189"/>
      <c r="BO318" s="189"/>
      <c r="BP318" s="189"/>
      <c r="BQ318" s="189"/>
      <c r="BR318" s="189"/>
      <c r="BS318" s="189"/>
      <c r="BT318" s="189"/>
      <c r="BU318" s="189"/>
      <c r="BV318" s="189"/>
      <c r="BW318" s="189"/>
      <c r="BX318" s="189"/>
      <c r="BY318" s="189"/>
      <c r="BZ318" s="189"/>
      <c r="CA318" s="189"/>
    </row>
    <row r="319" s="190" customFormat="true" ht="15" hidden="false" customHeight="false" outlineLevel="0" collapsed="false">
      <c r="A319" s="1"/>
      <c r="B319" s="168" t="s">
        <v>237</v>
      </c>
      <c r="C319" s="169"/>
      <c r="D319" s="3"/>
      <c r="E319" s="37"/>
      <c r="F319" s="24" t="n">
        <v>0</v>
      </c>
      <c r="G319" s="24" t="n">
        <v>0</v>
      </c>
      <c r="H319" s="189"/>
      <c r="I319" s="189"/>
      <c r="J319" s="189"/>
      <c r="K319" s="189"/>
      <c r="L319" s="189"/>
      <c r="M319" s="189"/>
      <c r="N319" s="189"/>
      <c r="O319" s="18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c r="AL319" s="189"/>
      <c r="AM319" s="189"/>
      <c r="AN319" s="189"/>
      <c r="AO319" s="189"/>
      <c r="AP319" s="189"/>
      <c r="AQ319" s="189"/>
      <c r="AR319" s="189"/>
      <c r="AS319" s="189"/>
      <c r="AT319" s="189"/>
      <c r="AU319" s="189"/>
      <c r="AV319" s="189"/>
      <c r="AW319" s="189"/>
      <c r="AX319" s="189"/>
      <c r="AY319" s="189"/>
      <c r="AZ319" s="189"/>
      <c r="BA319" s="189"/>
      <c r="BB319" s="189"/>
      <c r="BC319" s="189"/>
      <c r="BD319" s="189"/>
      <c r="BE319" s="189"/>
      <c r="BF319" s="189"/>
      <c r="BG319" s="189"/>
      <c r="BH319" s="189"/>
      <c r="BI319" s="189"/>
      <c r="BJ319" s="189"/>
      <c r="BK319" s="189"/>
      <c r="BL319" s="189"/>
      <c r="BM319" s="189"/>
      <c r="BN319" s="189"/>
      <c r="BO319" s="189"/>
      <c r="BP319" s="189"/>
      <c r="BQ319" s="189"/>
      <c r="BR319" s="189"/>
      <c r="BS319" s="189"/>
      <c r="BT319" s="189"/>
      <c r="BU319" s="189"/>
      <c r="BV319" s="189"/>
      <c r="BW319" s="189"/>
      <c r="BX319" s="189"/>
      <c r="BY319" s="189"/>
      <c r="BZ319" s="189"/>
      <c r="CA319" s="189"/>
    </row>
    <row r="320" s="190" customFormat="true" ht="15" hidden="false" customHeight="false" outlineLevel="0" collapsed="false">
      <c r="A320" s="191"/>
      <c r="B320" s="2" t="s">
        <v>238</v>
      </c>
      <c r="C320" s="169"/>
      <c r="D320" s="3"/>
      <c r="E320" s="37"/>
      <c r="F320" s="24" t="n">
        <v>55500</v>
      </c>
      <c r="G320" s="24" t="n">
        <v>55000</v>
      </c>
      <c r="H320" s="189"/>
      <c r="I320" s="189"/>
      <c r="J320" s="189"/>
      <c r="K320" s="189"/>
      <c r="L320" s="189"/>
      <c r="M320" s="189"/>
      <c r="N320" s="189"/>
      <c r="O320" s="189"/>
      <c r="P320" s="189"/>
      <c r="Q320" s="189"/>
      <c r="R320" s="189"/>
      <c r="S320" s="189"/>
      <c r="T320" s="189"/>
      <c r="U320" s="189"/>
      <c r="V320" s="189"/>
      <c r="W320" s="189"/>
      <c r="X320" s="189"/>
      <c r="Y320" s="189"/>
      <c r="Z320" s="189"/>
      <c r="AA320" s="189"/>
      <c r="AB320" s="189"/>
      <c r="AC320" s="189"/>
      <c r="AD320" s="189"/>
      <c r="AE320" s="189"/>
      <c r="AF320" s="189"/>
      <c r="AG320" s="189"/>
      <c r="AH320" s="189"/>
      <c r="AI320" s="189"/>
      <c r="AJ320" s="189"/>
      <c r="AK320" s="189"/>
      <c r="AL320" s="189"/>
      <c r="AM320" s="189"/>
      <c r="AN320" s="189"/>
      <c r="AO320" s="189"/>
      <c r="AP320" s="189"/>
      <c r="AQ320" s="189"/>
      <c r="AR320" s="189"/>
      <c r="AS320" s="189"/>
      <c r="AT320" s="189"/>
      <c r="AU320" s="189"/>
      <c r="AV320" s="189"/>
      <c r="AW320" s="189"/>
      <c r="AX320" s="189"/>
      <c r="AY320" s="189"/>
      <c r="AZ320" s="189"/>
      <c r="BA320" s="189"/>
      <c r="BB320" s="189"/>
      <c r="BC320" s="189"/>
      <c r="BD320" s="189"/>
      <c r="BE320" s="189"/>
      <c r="BF320" s="189"/>
      <c r="BG320" s="189"/>
      <c r="BH320" s="189"/>
      <c r="BI320" s="189"/>
      <c r="BJ320" s="189"/>
      <c r="BK320" s="189"/>
      <c r="BL320" s="189"/>
      <c r="BM320" s="189"/>
      <c r="BN320" s="189"/>
      <c r="BO320" s="189"/>
      <c r="BP320" s="189"/>
      <c r="BQ320" s="189"/>
      <c r="BR320" s="189"/>
      <c r="BS320" s="189"/>
      <c r="BT320" s="189"/>
      <c r="BU320" s="189"/>
      <c r="BV320" s="189"/>
      <c r="BW320" s="189"/>
      <c r="BX320" s="189"/>
      <c r="BY320" s="189"/>
      <c r="BZ320" s="189"/>
      <c r="CA320" s="189"/>
    </row>
    <row r="321" s="190" customFormat="true" ht="15" hidden="false" customHeight="false" outlineLevel="0" collapsed="false">
      <c r="A321" s="76"/>
      <c r="B321" s="40" t="s">
        <v>239</v>
      </c>
      <c r="C321" s="169"/>
      <c r="D321" s="3"/>
      <c r="E321" s="37"/>
      <c r="F321" s="24" t="n">
        <v>0</v>
      </c>
      <c r="G321" s="24" t="n">
        <v>0</v>
      </c>
      <c r="H321" s="189"/>
      <c r="I321" s="189"/>
      <c r="J321" s="189"/>
      <c r="K321" s="189"/>
      <c r="L321" s="189"/>
      <c r="M321" s="189"/>
      <c r="N321" s="189"/>
      <c r="O321" s="189"/>
      <c r="P321" s="189"/>
      <c r="Q321" s="189"/>
      <c r="R321" s="189"/>
      <c r="S321" s="189"/>
      <c r="T321" s="189"/>
      <c r="U321" s="189"/>
      <c r="V321" s="189"/>
      <c r="W321" s="189"/>
      <c r="X321" s="189"/>
      <c r="Y321" s="189"/>
      <c r="Z321" s="189"/>
      <c r="AA321" s="189"/>
      <c r="AB321" s="189"/>
      <c r="AC321" s="189"/>
      <c r="AD321" s="189"/>
      <c r="AE321" s="189"/>
      <c r="AF321" s="189"/>
      <c r="AG321" s="189"/>
      <c r="AH321" s="189"/>
      <c r="AI321" s="189"/>
      <c r="AJ321" s="189"/>
      <c r="AK321" s="189"/>
      <c r="AL321" s="189"/>
      <c r="AM321" s="189"/>
      <c r="AN321" s="189"/>
      <c r="AO321" s="189"/>
      <c r="AP321" s="189"/>
      <c r="AQ321" s="189"/>
      <c r="AR321" s="189"/>
      <c r="AS321" s="189"/>
      <c r="AT321" s="189"/>
      <c r="AU321" s="189"/>
      <c r="AV321" s="189"/>
      <c r="AW321" s="189"/>
      <c r="AX321" s="189"/>
      <c r="AY321" s="189"/>
      <c r="AZ321" s="189"/>
      <c r="BA321" s="189"/>
      <c r="BB321" s="189"/>
      <c r="BC321" s="189"/>
      <c r="BD321" s="189"/>
      <c r="BE321" s="189"/>
      <c r="BF321" s="189"/>
      <c r="BG321" s="189"/>
      <c r="BH321" s="189"/>
      <c r="BI321" s="189"/>
      <c r="BJ321" s="189"/>
      <c r="BK321" s="189"/>
      <c r="BL321" s="189"/>
      <c r="BM321" s="189"/>
      <c r="BN321" s="189"/>
      <c r="BO321" s="189"/>
      <c r="BP321" s="189"/>
      <c r="BQ321" s="189"/>
      <c r="BR321" s="189"/>
      <c r="BS321" s="189"/>
      <c r="BT321" s="189"/>
      <c r="BU321" s="189"/>
      <c r="BV321" s="189"/>
      <c r="BW321" s="189"/>
      <c r="BX321" s="189"/>
      <c r="BY321" s="189"/>
      <c r="BZ321" s="189"/>
      <c r="CA321" s="189"/>
    </row>
    <row r="322" s="190" customFormat="true" ht="15" hidden="false" customHeight="false" outlineLevel="0" collapsed="false">
      <c r="A322" s="76"/>
      <c r="B322" s="40" t="s">
        <v>240</v>
      </c>
      <c r="C322" s="169"/>
      <c r="D322" s="3"/>
      <c r="E322" s="37"/>
      <c r="F322" s="24" t="n">
        <v>9312</v>
      </c>
      <c r="G322" s="24" t="n">
        <v>10916</v>
      </c>
      <c r="H322" s="189"/>
      <c r="I322" s="189"/>
      <c r="J322" s="189"/>
      <c r="K322" s="189"/>
      <c r="L322" s="189"/>
      <c r="M322" s="189"/>
      <c r="N322" s="189"/>
      <c r="O322" s="189"/>
      <c r="P322" s="189"/>
      <c r="Q322" s="189"/>
      <c r="R322" s="189"/>
      <c r="S322" s="189"/>
      <c r="T322" s="189"/>
      <c r="U322" s="189"/>
      <c r="V322" s="189"/>
      <c r="W322" s="189"/>
      <c r="X322" s="189"/>
      <c r="Y322" s="189"/>
      <c r="Z322" s="189"/>
      <c r="AA322" s="189"/>
      <c r="AB322" s="189"/>
      <c r="AC322" s="189"/>
      <c r="AD322" s="189"/>
      <c r="AE322" s="189"/>
      <c r="AF322" s="189"/>
      <c r="AG322" s="189"/>
      <c r="AH322" s="189"/>
      <c r="AI322" s="189"/>
      <c r="AJ322" s="189"/>
      <c r="AK322" s="189"/>
      <c r="AL322" s="189"/>
      <c r="AM322" s="189"/>
      <c r="AN322" s="189"/>
      <c r="AO322" s="189"/>
      <c r="AP322" s="189"/>
      <c r="AQ322" s="189"/>
      <c r="AR322" s="189"/>
      <c r="AS322" s="189"/>
      <c r="AT322" s="189"/>
      <c r="AU322" s="189"/>
      <c r="AV322" s="189"/>
      <c r="AW322" s="189"/>
      <c r="AX322" s="189"/>
      <c r="AY322" s="189"/>
      <c r="AZ322" s="189"/>
      <c r="BA322" s="189"/>
      <c r="BB322" s="189"/>
      <c r="BC322" s="189"/>
      <c r="BD322" s="189"/>
      <c r="BE322" s="189"/>
      <c r="BF322" s="189"/>
      <c r="BG322" s="189"/>
      <c r="BH322" s="189"/>
      <c r="BI322" s="189"/>
      <c r="BJ322" s="189"/>
      <c r="BK322" s="189"/>
      <c r="BL322" s="189"/>
      <c r="BM322" s="189"/>
      <c r="BN322" s="189"/>
      <c r="BO322" s="189"/>
      <c r="BP322" s="189"/>
      <c r="BQ322" s="189"/>
      <c r="BR322" s="189"/>
      <c r="BS322" s="189"/>
      <c r="BT322" s="189"/>
      <c r="BU322" s="189"/>
      <c r="BV322" s="189"/>
      <c r="BW322" s="189"/>
      <c r="BX322" s="189"/>
      <c r="BY322" s="189"/>
      <c r="BZ322" s="189"/>
      <c r="CA322" s="189"/>
    </row>
    <row r="323" s="190" customFormat="true" ht="15" hidden="false" customHeight="false" outlineLevel="0" collapsed="false">
      <c r="A323" s="76"/>
      <c r="B323" s="40" t="s">
        <v>241</v>
      </c>
      <c r="C323" s="169"/>
      <c r="D323" s="3"/>
      <c r="E323" s="37"/>
      <c r="F323" s="24" t="n">
        <v>900</v>
      </c>
      <c r="G323" s="24" t="n">
        <v>0</v>
      </c>
      <c r="H323" s="189"/>
      <c r="I323" s="189"/>
      <c r="J323" s="189"/>
      <c r="K323" s="189"/>
      <c r="L323" s="189"/>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189"/>
      <c r="AN323" s="189"/>
      <c r="AO323" s="189"/>
      <c r="AP323" s="189"/>
      <c r="AQ323" s="189"/>
      <c r="AR323" s="189"/>
      <c r="AS323" s="189"/>
      <c r="AT323" s="189"/>
      <c r="AU323" s="189"/>
      <c r="AV323" s="189"/>
      <c r="AW323" s="189"/>
      <c r="AX323" s="189"/>
      <c r="AY323" s="189"/>
      <c r="AZ323" s="189"/>
      <c r="BA323" s="189"/>
      <c r="BB323" s="189"/>
      <c r="BC323" s="189"/>
      <c r="BD323" s="189"/>
      <c r="BE323" s="189"/>
      <c r="BF323" s="189"/>
      <c r="BG323" s="189"/>
      <c r="BH323" s="189"/>
      <c r="BI323" s="189"/>
      <c r="BJ323" s="189"/>
      <c r="BK323" s="189"/>
      <c r="BL323" s="189"/>
      <c r="BM323" s="189"/>
      <c r="BN323" s="189"/>
      <c r="BO323" s="189"/>
      <c r="BP323" s="189"/>
      <c r="BQ323" s="189"/>
      <c r="BR323" s="189"/>
      <c r="BS323" s="189"/>
      <c r="BT323" s="189"/>
      <c r="BU323" s="189"/>
      <c r="BV323" s="189"/>
      <c r="BW323" s="189"/>
      <c r="BX323" s="189"/>
      <c r="BY323" s="189"/>
      <c r="BZ323" s="189"/>
      <c r="CA323" s="189"/>
    </row>
    <row r="324" s="190" customFormat="true" ht="15" hidden="false" customHeight="false" outlineLevel="0" collapsed="false">
      <c r="A324" s="76"/>
      <c r="B324" s="40" t="s">
        <v>242</v>
      </c>
      <c r="C324" s="169"/>
      <c r="D324" s="3"/>
      <c r="E324" s="37"/>
      <c r="F324" s="24" t="n">
        <v>900</v>
      </c>
      <c r="G324" s="24" t="n">
        <v>0</v>
      </c>
      <c r="H324" s="189"/>
      <c r="I324" s="189"/>
      <c r="J324" s="189"/>
      <c r="K324" s="189"/>
      <c r="L324" s="189"/>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189"/>
      <c r="AN324" s="189"/>
      <c r="AO324" s="189"/>
      <c r="AP324" s="189"/>
      <c r="AQ324" s="189"/>
      <c r="AR324" s="189"/>
      <c r="AS324" s="189"/>
      <c r="AT324" s="189"/>
      <c r="AU324" s="189"/>
      <c r="AV324" s="189"/>
      <c r="AW324" s="189"/>
      <c r="AX324" s="189"/>
      <c r="AY324" s="189"/>
      <c r="AZ324" s="189"/>
      <c r="BA324" s="189"/>
      <c r="BB324" s="189"/>
      <c r="BC324" s="189"/>
      <c r="BD324" s="189"/>
      <c r="BE324" s="189"/>
      <c r="BF324" s="189"/>
      <c r="BG324" s="189"/>
      <c r="BH324" s="189"/>
      <c r="BI324" s="189"/>
      <c r="BJ324" s="189"/>
      <c r="BK324" s="189"/>
      <c r="BL324" s="189"/>
      <c r="BM324" s="189"/>
      <c r="BN324" s="189"/>
      <c r="BO324" s="189"/>
      <c r="BP324" s="189"/>
      <c r="BQ324" s="189"/>
      <c r="BR324" s="189"/>
      <c r="BS324" s="189"/>
      <c r="BT324" s="189"/>
      <c r="BU324" s="189"/>
      <c r="BV324" s="189"/>
      <c r="BW324" s="189"/>
      <c r="BX324" s="189"/>
      <c r="BY324" s="189"/>
      <c r="BZ324" s="189"/>
      <c r="CA324" s="189"/>
    </row>
    <row r="325" s="190" customFormat="true" ht="15" hidden="false" customHeight="false" outlineLevel="0" collapsed="false">
      <c r="A325" s="76"/>
      <c r="B325" s="40" t="s">
        <v>243</v>
      </c>
      <c r="C325" s="169"/>
      <c r="D325" s="3"/>
      <c r="E325" s="37"/>
      <c r="F325" s="24" t="n">
        <v>2601</v>
      </c>
      <c r="G325" s="24" t="n">
        <v>0</v>
      </c>
      <c r="H325" s="189"/>
      <c r="I325" s="189"/>
      <c r="J325" s="189"/>
      <c r="K325" s="189"/>
      <c r="L325" s="189"/>
      <c r="M325" s="189"/>
      <c r="N325" s="189"/>
      <c r="O325" s="18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c r="AL325" s="189"/>
      <c r="AM325" s="189"/>
      <c r="AN325" s="189"/>
      <c r="AO325" s="189"/>
      <c r="AP325" s="189"/>
      <c r="AQ325" s="189"/>
      <c r="AR325" s="189"/>
      <c r="AS325" s="189"/>
      <c r="AT325" s="189"/>
      <c r="AU325" s="189"/>
      <c r="AV325" s="189"/>
      <c r="AW325" s="189"/>
      <c r="AX325" s="189"/>
      <c r="AY325" s="189"/>
      <c r="AZ325" s="189"/>
      <c r="BA325" s="189"/>
      <c r="BB325" s="189"/>
      <c r="BC325" s="189"/>
      <c r="BD325" s="189"/>
      <c r="BE325" s="189"/>
      <c r="BF325" s="189"/>
      <c r="BG325" s="189"/>
      <c r="BH325" s="189"/>
      <c r="BI325" s="189"/>
      <c r="BJ325" s="189"/>
      <c r="BK325" s="189"/>
      <c r="BL325" s="189"/>
      <c r="BM325" s="189"/>
      <c r="BN325" s="189"/>
      <c r="BO325" s="189"/>
      <c r="BP325" s="189"/>
      <c r="BQ325" s="189"/>
      <c r="BR325" s="189"/>
      <c r="BS325" s="189"/>
      <c r="BT325" s="189"/>
      <c r="BU325" s="189"/>
      <c r="BV325" s="189"/>
      <c r="BW325" s="189"/>
      <c r="BX325" s="189"/>
      <c r="BY325" s="189"/>
      <c r="BZ325" s="189"/>
      <c r="CA325" s="189"/>
    </row>
    <row r="326" s="190" customFormat="true" ht="15" hidden="false" customHeight="false" outlineLevel="0" collapsed="false">
      <c r="A326" s="76"/>
      <c r="B326" s="40" t="s">
        <v>244</v>
      </c>
      <c r="C326" s="169"/>
      <c r="D326" s="3"/>
      <c r="E326" s="37"/>
      <c r="F326" s="24" t="n">
        <v>56227.71</v>
      </c>
      <c r="G326" s="24" t="n">
        <v>0</v>
      </c>
      <c r="H326" s="189"/>
      <c r="I326" s="189"/>
      <c r="J326" s="189"/>
      <c r="K326" s="189"/>
      <c r="L326" s="189"/>
      <c r="M326" s="189"/>
      <c r="N326" s="189"/>
      <c r="O326" s="189"/>
      <c r="P326" s="189"/>
      <c r="Q326" s="189"/>
      <c r="R326" s="189"/>
      <c r="S326" s="189"/>
      <c r="T326" s="189"/>
      <c r="U326" s="189"/>
      <c r="V326" s="189"/>
      <c r="W326" s="189"/>
      <c r="X326" s="189"/>
      <c r="Y326" s="189"/>
      <c r="Z326" s="189"/>
      <c r="AA326" s="189"/>
      <c r="AB326" s="189"/>
      <c r="AC326" s="189"/>
      <c r="AD326" s="189"/>
      <c r="AE326" s="189"/>
      <c r="AF326" s="189"/>
      <c r="AG326" s="189"/>
      <c r="AH326" s="189"/>
      <c r="AI326" s="189"/>
      <c r="AJ326" s="189"/>
      <c r="AK326" s="189"/>
      <c r="AL326" s="189"/>
      <c r="AM326" s="189"/>
      <c r="AN326" s="189"/>
      <c r="AO326" s="189"/>
      <c r="AP326" s="189"/>
      <c r="AQ326" s="189"/>
      <c r="AR326" s="189"/>
      <c r="AS326" s="189"/>
      <c r="AT326" s="189"/>
      <c r="AU326" s="189"/>
      <c r="AV326" s="189"/>
      <c r="AW326" s="189"/>
      <c r="AX326" s="189"/>
      <c r="AY326" s="189"/>
      <c r="AZ326" s="189"/>
      <c r="BA326" s="189"/>
      <c r="BB326" s="189"/>
      <c r="BC326" s="189"/>
      <c r="BD326" s="189"/>
      <c r="BE326" s="189"/>
      <c r="BF326" s="189"/>
      <c r="BG326" s="189"/>
      <c r="BH326" s="189"/>
      <c r="BI326" s="189"/>
      <c r="BJ326" s="189"/>
      <c r="BK326" s="189"/>
      <c r="BL326" s="189"/>
      <c r="BM326" s="189"/>
      <c r="BN326" s="189"/>
      <c r="BO326" s="189"/>
      <c r="BP326" s="189"/>
      <c r="BQ326" s="189"/>
      <c r="BR326" s="189"/>
      <c r="BS326" s="189"/>
      <c r="BT326" s="189"/>
      <c r="BU326" s="189"/>
      <c r="BV326" s="189"/>
      <c r="BW326" s="189"/>
      <c r="BX326" s="189"/>
      <c r="BY326" s="189"/>
      <c r="BZ326" s="189"/>
      <c r="CA326" s="189"/>
    </row>
    <row r="327" s="190" customFormat="true" ht="15" hidden="false" customHeight="false" outlineLevel="0" collapsed="false">
      <c r="A327" s="1"/>
      <c r="B327" s="192" t="s">
        <v>245</v>
      </c>
      <c r="C327" s="169"/>
      <c r="D327" s="3"/>
      <c r="E327" s="37"/>
      <c r="F327" s="24"/>
      <c r="G327" s="24"/>
      <c r="H327" s="189"/>
      <c r="I327" s="189"/>
      <c r="J327" s="189"/>
      <c r="K327" s="189"/>
      <c r="L327" s="189"/>
      <c r="M327" s="189"/>
      <c r="N327" s="189"/>
      <c r="O327" s="189"/>
      <c r="P327" s="189"/>
      <c r="Q327" s="189"/>
      <c r="R327" s="189"/>
      <c r="S327" s="189"/>
      <c r="T327" s="189"/>
      <c r="U327" s="189"/>
      <c r="V327" s="189"/>
      <c r="W327" s="189"/>
      <c r="X327" s="189"/>
      <c r="Y327" s="189"/>
      <c r="Z327" s="189"/>
      <c r="AA327" s="189"/>
      <c r="AB327" s="189"/>
      <c r="AC327" s="189"/>
      <c r="AD327" s="189"/>
      <c r="AE327" s="189"/>
      <c r="AF327" s="189"/>
      <c r="AG327" s="189"/>
      <c r="AH327" s="189"/>
      <c r="AI327" s="189"/>
      <c r="AJ327" s="189"/>
      <c r="AK327" s="189"/>
      <c r="AL327" s="189"/>
      <c r="AM327" s="189"/>
      <c r="AN327" s="189"/>
      <c r="AO327" s="189"/>
      <c r="AP327" s="189"/>
      <c r="AQ327" s="189"/>
      <c r="AR327" s="189"/>
      <c r="AS327" s="189"/>
      <c r="AT327" s="189"/>
      <c r="AU327" s="189"/>
      <c r="AV327" s="189"/>
      <c r="AW327" s="189"/>
      <c r="AX327" s="189"/>
      <c r="AY327" s="189"/>
      <c r="AZ327" s="189"/>
      <c r="BA327" s="189"/>
      <c r="BB327" s="189"/>
      <c r="BC327" s="189"/>
      <c r="BD327" s="189"/>
      <c r="BE327" s="189"/>
      <c r="BF327" s="189"/>
      <c r="BG327" s="189"/>
      <c r="BH327" s="189"/>
      <c r="BI327" s="189"/>
      <c r="BJ327" s="189"/>
      <c r="BK327" s="189"/>
      <c r="BL327" s="189"/>
      <c r="BM327" s="189"/>
      <c r="BN327" s="189"/>
      <c r="BO327" s="189"/>
      <c r="BP327" s="189"/>
      <c r="BQ327" s="189"/>
      <c r="BR327" s="189"/>
      <c r="BS327" s="189"/>
      <c r="BT327" s="189"/>
      <c r="BU327" s="189"/>
      <c r="BV327" s="189"/>
      <c r="BW327" s="189"/>
      <c r="BX327" s="189"/>
      <c r="BY327" s="189"/>
      <c r="BZ327" s="189"/>
      <c r="CA327" s="189"/>
    </row>
    <row r="328" s="190" customFormat="true" ht="15" hidden="false" customHeight="false" outlineLevel="0" collapsed="false">
      <c r="A328" s="1"/>
      <c r="B328" s="168" t="s">
        <v>246</v>
      </c>
      <c r="C328" s="169"/>
      <c r="D328" s="3"/>
      <c r="E328" s="37"/>
      <c r="F328" s="24" t="n">
        <v>78290</v>
      </c>
      <c r="G328" s="24" t="n">
        <v>74260</v>
      </c>
      <c r="H328" s="189"/>
      <c r="I328" s="189"/>
      <c r="J328" s="189"/>
      <c r="K328" s="189"/>
      <c r="L328" s="189"/>
      <c r="M328" s="189"/>
      <c r="N328" s="189"/>
      <c r="O328" s="189"/>
      <c r="P328" s="189"/>
      <c r="Q328" s="189"/>
      <c r="R328" s="189"/>
      <c r="S328" s="189"/>
      <c r="T328" s="189"/>
      <c r="U328" s="189"/>
      <c r="V328" s="189"/>
      <c r="W328" s="189"/>
      <c r="X328" s="189"/>
      <c r="Y328" s="189"/>
      <c r="Z328" s="189"/>
      <c r="AA328" s="189"/>
      <c r="AB328" s="189"/>
      <c r="AC328" s="189"/>
      <c r="AD328" s="189"/>
      <c r="AE328" s="189"/>
      <c r="AF328" s="189"/>
      <c r="AG328" s="189"/>
      <c r="AH328" s="189"/>
      <c r="AI328" s="189"/>
      <c r="AJ328" s="189"/>
      <c r="AK328" s="189"/>
      <c r="AL328" s="189"/>
      <c r="AM328" s="189"/>
      <c r="AN328" s="189"/>
      <c r="AO328" s="189"/>
      <c r="AP328" s="189"/>
      <c r="AQ328" s="189"/>
      <c r="AR328" s="189"/>
      <c r="AS328" s="189"/>
      <c r="AT328" s="189"/>
      <c r="AU328" s="189"/>
      <c r="AV328" s="189"/>
      <c r="AW328" s="189"/>
      <c r="AX328" s="189"/>
      <c r="AY328" s="189"/>
      <c r="AZ328" s="189"/>
      <c r="BA328" s="189"/>
      <c r="BB328" s="189"/>
      <c r="BC328" s="189"/>
      <c r="BD328" s="189"/>
      <c r="BE328" s="189"/>
      <c r="BF328" s="189"/>
      <c r="BG328" s="189"/>
      <c r="BH328" s="189"/>
      <c r="BI328" s="189"/>
      <c r="BJ328" s="189"/>
      <c r="BK328" s="189"/>
      <c r="BL328" s="189"/>
      <c r="BM328" s="189"/>
      <c r="BN328" s="189"/>
      <c r="BO328" s="189"/>
      <c r="BP328" s="189"/>
      <c r="BQ328" s="189"/>
      <c r="BR328" s="189"/>
      <c r="BS328" s="189"/>
      <c r="BT328" s="189"/>
      <c r="BU328" s="189"/>
      <c r="BV328" s="189"/>
      <c r="BW328" s="189"/>
      <c r="BX328" s="189"/>
      <c r="BY328" s="189"/>
      <c r="BZ328" s="189"/>
      <c r="CA328" s="189"/>
    </row>
    <row r="329" s="190" customFormat="true" ht="15" hidden="false" customHeight="false" outlineLevel="0" collapsed="false">
      <c r="A329" s="1"/>
      <c r="B329" s="168" t="s">
        <v>247</v>
      </c>
      <c r="C329" s="169"/>
      <c r="D329" s="3"/>
      <c r="E329" s="37"/>
      <c r="F329" s="24" t="n">
        <f aca="false">655000+72500</f>
        <v>727500</v>
      </c>
      <c r="G329" s="24" t="n">
        <v>423500</v>
      </c>
      <c r="H329" s="189"/>
      <c r="I329" s="189"/>
      <c r="J329" s="189"/>
      <c r="K329" s="189"/>
      <c r="L329" s="189"/>
      <c r="M329" s="189"/>
      <c r="N329" s="189"/>
      <c r="O329" s="189"/>
      <c r="P329" s="189"/>
      <c r="Q329" s="189"/>
      <c r="R329" s="189"/>
      <c r="S329" s="189"/>
      <c r="T329" s="189"/>
      <c r="U329" s="189"/>
      <c r="V329" s="189"/>
      <c r="W329" s="189"/>
      <c r="X329" s="189"/>
      <c r="Y329" s="189"/>
      <c r="Z329" s="189"/>
      <c r="AA329" s="189"/>
      <c r="AB329" s="189"/>
      <c r="AC329" s="189"/>
      <c r="AD329" s="189"/>
      <c r="AE329" s="189"/>
      <c r="AF329" s="189"/>
      <c r="AG329" s="189"/>
      <c r="AH329" s="189"/>
      <c r="AI329" s="189"/>
      <c r="AJ329" s="189"/>
      <c r="AK329" s="189"/>
      <c r="AL329" s="189"/>
      <c r="AM329" s="189"/>
      <c r="AN329" s="189"/>
      <c r="AO329" s="189"/>
      <c r="AP329" s="189"/>
      <c r="AQ329" s="189"/>
      <c r="AR329" s="189"/>
      <c r="AS329" s="189"/>
      <c r="AT329" s="189"/>
      <c r="AU329" s="189"/>
      <c r="AV329" s="189"/>
      <c r="AW329" s="189"/>
      <c r="AX329" s="189"/>
      <c r="AY329" s="189"/>
      <c r="AZ329" s="189"/>
      <c r="BA329" s="189"/>
      <c r="BB329" s="189"/>
      <c r="BC329" s="189"/>
      <c r="BD329" s="189"/>
      <c r="BE329" s="189"/>
      <c r="BF329" s="189"/>
      <c r="BG329" s="189"/>
      <c r="BH329" s="189"/>
      <c r="BI329" s="189"/>
      <c r="BJ329" s="189"/>
      <c r="BK329" s="189"/>
      <c r="BL329" s="189"/>
      <c r="BM329" s="189"/>
      <c r="BN329" s="189"/>
      <c r="BO329" s="189"/>
      <c r="BP329" s="189"/>
      <c r="BQ329" s="189"/>
      <c r="BR329" s="189"/>
      <c r="BS329" s="189"/>
      <c r="BT329" s="189"/>
      <c r="BU329" s="189"/>
      <c r="BV329" s="189"/>
      <c r="BW329" s="189"/>
      <c r="BX329" s="189"/>
      <c r="BY329" s="189"/>
      <c r="BZ329" s="189"/>
      <c r="CA329" s="189"/>
    </row>
    <row r="330" s="190" customFormat="true" ht="15" hidden="false" customHeight="false" outlineLevel="0" collapsed="false">
      <c r="A330" s="1"/>
      <c r="B330" s="168"/>
      <c r="C330" s="169"/>
      <c r="D330" s="3"/>
      <c r="E330" s="37"/>
      <c r="F330" s="24"/>
      <c r="G330" s="54"/>
      <c r="H330" s="189"/>
      <c r="I330" s="189"/>
      <c r="J330" s="189"/>
      <c r="K330" s="189"/>
      <c r="L330" s="189"/>
      <c r="M330" s="189"/>
      <c r="N330" s="189"/>
      <c r="O330" s="189"/>
      <c r="P330" s="189"/>
      <c r="Q330" s="189"/>
      <c r="R330" s="189"/>
      <c r="S330" s="189"/>
      <c r="T330" s="189"/>
      <c r="U330" s="189"/>
      <c r="V330" s="189"/>
      <c r="W330" s="189"/>
      <c r="X330" s="189"/>
      <c r="Y330" s="189"/>
      <c r="Z330" s="189"/>
      <c r="AA330" s="189"/>
      <c r="AB330" s="189"/>
      <c r="AC330" s="189"/>
      <c r="AD330" s="189"/>
      <c r="AE330" s="189"/>
      <c r="AF330" s="189"/>
      <c r="AG330" s="189"/>
      <c r="AH330" s="189"/>
      <c r="AI330" s="189"/>
      <c r="AJ330" s="189"/>
      <c r="AK330" s="189"/>
      <c r="AL330" s="189"/>
      <c r="AM330" s="189"/>
      <c r="AN330" s="189"/>
      <c r="AO330" s="189"/>
      <c r="AP330" s="189"/>
      <c r="AQ330" s="189"/>
      <c r="AR330" s="189"/>
      <c r="AS330" s="189"/>
      <c r="AT330" s="189"/>
      <c r="AU330" s="189"/>
      <c r="AV330" s="189"/>
      <c r="AW330" s="189"/>
      <c r="AX330" s="189"/>
      <c r="AY330" s="189"/>
      <c r="AZ330" s="189"/>
      <c r="BA330" s="189"/>
      <c r="BB330" s="189"/>
      <c r="BC330" s="189"/>
      <c r="BD330" s="189"/>
      <c r="BE330" s="189"/>
      <c r="BF330" s="189"/>
      <c r="BG330" s="189"/>
      <c r="BH330" s="189"/>
      <c r="BI330" s="189"/>
      <c r="BJ330" s="189"/>
      <c r="BK330" s="189"/>
      <c r="BL330" s="189"/>
      <c r="BM330" s="189"/>
      <c r="BN330" s="189"/>
      <c r="BO330" s="189"/>
      <c r="BP330" s="189"/>
      <c r="BQ330" s="189"/>
      <c r="BR330" s="189"/>
      <c r="BS330" s="189"/>
      <c r="BT330" s="189"/>
      <c r="BU330" s="189"/>
      <c r="BV330" s="189"/>
      <c r="BW330" s="189"/>
      <c r="BX330" s="189"/>
      <c r="BY330" s="189"/>
      <c r="BZ330" s="189"/>
      <c r="CA330" s="189"/>
    </row>
    <row r="331" s="190" customFormat="true" ht="15" hidden="false" customHeight="false" outlineLevel="0" collapsed="false">
      <c r="A331" s="1"/>
      <c r="B331" s="81"/>
      <c r="C331" s="79"/>
      <c r="D331" s="79"/>
      <c r="E331" s="54"/>
      <c r="F331" s="147" t="n">
        <f aca="false">SUM(F316:F330)</f>
        <v>1827622.71</v>
      </c>
      <c r="G331" s="147" t="n">
        <f aca="false">SUM(G316:G330)</f>
        <v>877050</v>
      </c>
      <c r="H331" s="189"/>
      <c r="I331" s="189"/>
      <c r="J331" s="189"/>
      <c r="K331" s="189"/>
      <c r="L331" s="189"/>
      <c r="M331" s="189"/>
      <c r="N331" s="189"/>
      <c r="O331" s="189"/>
      <c r="P331" s="189"/>
      <c r="Q331" s="189"/>
      <c r="R331" s="189"/>
      <c r="S331" s="189"/>
      <c r="T331" s="189"/>
      <c r="U331" s="189"/>
      <c r="V331" s="189"/>
      <c r="W331" s="189"/>
      <c r="X331" s="189"/>
      <c r="Y331" s="189"/>
      <c r="Z331" s="189"/>
      <c r="AA331" s="189"/>
      <c r="AB331" s="189"/>
      <c r="AC331" s="189"/>
      <c r="AD331" s="189"/>
      <c r="AE331" s="189"/>
      <c r="AF331" s="189"/>
      <c r="AG331" s="189"/>
      <c r="AH331" s="189"/>
      <c r="AI331" s="189"/>
      <c r="AJ331" s="189"/>
      <c r="AK331" s="189"/>
      <c r="AL331" s="189"/>
      <c r="AM331" s="189"/>
      <c r="AN331" s="189"/>
      <c r="AO331" s="189"/>
      <c r="AP331" s="189"/>
      <c r="AQ331" s="189"/>
      <c r="AR331" s="189"/>
      <c r="AS331" s="189"/>
      <c r="AT331" s="189"/>
      <c r="AU331" s="189"/>
      <c r="AV331" s="189"/>
      <c r="AW331" s="189"/>
      <c r="AX331" s="189"/>
      <c r="AY331" s="189"/>
      <c r="AZ331" s="189"/>
      <c r="BA331" s="189"/>
      <c r="BB331" s="189"/>
      <c r="BC331" s="189"/>
      <c r="BD331" s="189"/>
      <c r="BE331" s="189"/>
      <c r="BF331" s="189"/>
      <c r="BG331" s="189"/>
      <c r="BH331" s="189"/>
      <c r="BI331" s="189"/>
      <c r="BJ331" s="189"/>
      <c r="BK331" s="189"/>
      <c r="BL331" s="189"/>
      <c r="BM331" s="189"/>
      <c r="BN331" s="189"/>
      <c r="BO331" s="189"/>
      <c r="BP331" s="189"/>
      <c r="BQ331" s="189"/>
      <c r="BR331" s="189"/>
      <c r="BS331" s="189"/>
      <c r="BT331" s="189"/>
      <c r="BU331" s="189"/>
      <c r="BV331" s="189"/>
      <c r="BW331" s="189"/>
      <c r="BX331" s="189"/>
      <c r="BY331" s="189"/>
      <c r="BZ331" s="189"/>
      <c r="CA331" s="189"/>
    </row>
    <row r="332" s="190" customFormat="true" ht="15" hidden="false" customHeight="false" outlineLevel="0" collapsed="false">
      <c r="A332" s="1"/>
      <c r="B332" s="2"/>
      <c r="C332" s="2"/>
      <c r="D332" s="2"/>
      <c r="E332" s="2"/>
      <c r="F332" s="2"/>
      <c r="G332" s="3"/>
      <c r="H332" s="189"/>
      <c r="I332" s="189"/>
      <c r="J332" s="189"/>
      <c r="K332" s="189"/>
      <c r="L332" s="189"/>
      <c r="M332" s="189"/>
      <c r="N332" s="189"/>
      <c r="O332" s="18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c r="AL332" s="189"/>
      <c r="AM332" s="189"/>
      <c r="AN332" s="189"/>
      <c r="AO332" s="189"/>
      <c r="AP332" s="189"/>
      <c r="AQ332" s="189"/>
      <c r="AR332" s="189"/>
      <c r="AS332" s="189"/>
      <c r="AT332" s="189"/>
      <c r="AU332" s="189"/>
      <c r="AV332" s="189"/>
      <c r="AW332" s="189"/>
      <c r="AX332" s="189"/>
      <c r="AY332" s="189"/>
      <c r="AZ332" s="189"/>
      <c r="BA332" s="189"/>
      <c r="BB332" s="189"/>
      <c r="BC332" s="189"/>
      <c r="BD332" s="189"/>
      <c r="BE332" s="189"/>
      <c r="BF332" s="189"/>
      <c r="BG332" s="189"/>
      <c r="BH332" s="189"/>
      <c r="BI332" s="189"/>
      <c r="BJ332" s="189"/>
      <c r="BK332" s="189"/>
      <c r="BL332" s="189"/>
      <c r="BM332" s="189"/>
      <c r="BN332" s="189"/>
      <c r="BO332" s="189"/>
      <c r="BP332" s="189"/>
      <c r="BQ332" s="189"/>
      <c r="BR332" s="189"/>
      <c r="BS332" s="189"/>
      <c r="BT332" s="189"/>
      <c r="BU332" s="189"/>
      <c r="BV332" s="189"/>
      <c r="BW332" s="189"/>
      <c r="BX332" s="189"/>
      <c r="BY332" s="189"/>
      <c r="BZ332" s="189"/>
      <c r="CA332" s="189"/>
    </row>
    <row r="333" s="190" customFormat="true" ht="14.25" hidden="false" customHeight="true" outlineLevel="0" collapsed="false">
      <c r="A333" s="1"/>
      <c r="B333" s="2"/>
      <c r="C333" s="2"/>
      <c r="D333" s="2"/>
      <c r="E333" s="2"/>
      <c r="F333" s="2"/>
      <c r="G333" s="3"/>
      <c r="H333" s="189"/>
      <c r="I333" s="189"/>
      <c r="J333" s="189"/>
      <c r="K333" s="189"/>
      <c r="L333" s="189"/>
      <c r="M333" s="189"/>
      <c r="N333" s="189"/>
      <c r="O333" s="189"/>
      <c r="P333" s="189"/>
      <c r="Q333" s="189"/>
      <c r="R333" s="189"/>
      <c r="S333" s="189"/>
      <c r="T333" s="189"/>
      <c r="U333" s="189"/>
      <c r="V333" s="189"/>
      <c r="W333" s="189"/>
      <c r="X333" s="189"/>
      <c r="Y333" s="189"/>
      <c r="Z333" s="189"/>
      <c r="AA333" s="189"/>
      <c r="AB333" s="189"/>
      <c r="AC333" s="189"/>
      <c r="AD333" s="189"/>
      <c r="AE333" s="189"/>
      <c r="AF333" s="189"/>
      <c r="AG333" s="189"/>
      <c r="AH333" s="189"/>
      <c r="AI333" s="189"/>
      <c r="AJ333" s="189"/>
      <c r="AK333" s="189"/>
      <c r="AL333" s="189"/>
      <c r="AM333" s="189"/>
      <c r="AN333" s="189"/>
      <c r="AO333" s="189"/>
      <c r="AP333" s="189"/>
      <c r="AQ333" s="189"/>
      <c r="AR333" s="189"/>
      <c r="AS333" s="189"/>
      <c r="AT333" s="189"/>
      <c r="AU333" s="189"/>
      <c r="AV333" s="189"/>
      <c r="AW333" s="189"/>
      <c r="AX333" s="189"/>
      <c r="AY333" s="189"/>
      <c r="AZ333" s="189"/>
      <c r="BA333" s="189"/>
      <c r="BB333" s="189"/>
      <c r="BC333" s="189"/>
      <c r="BD333" s="189"/>
      <c r="BE333" s="189"/>
      <c r="BF333" s="189"/>
      <c r="BG333" s="189"/>
      <c r="BH333" s="189"/>
      <c r="BI333" s="189"/>
      <c r="BJ333" s="189"/>
      <c r="BK333" s="189"/>
      <c r="BL333" s="189"/>
      <c r="BM333" s="189"/>
      <c r="BN333" s="189"/>
      <c r="BO333" s="189"/>
      <c r="BP333" s="189"/>
      <c r="BQ333" s="189"/>
      <c r="BR333" s="189"/>
      <c r="BS333" s="189"/>
      <c r="BT333" s="189"/>
      <c r="BU333" s="189"/>
      <c r="BV333" s="189"/>
      <c r="BW333" s="189"/>
      <c r="BX333" s="189"/>
      <c r="BY333" s="189"/>
      <c r="BZ333" s="189"/>
      <c r="CA333" s="189"/>
    </row>
    <row r="334" s="190" customFormat="true" ht="15" hidden="false" customHeight="false" outlineLevel="0" collapsed="false">
      <c r="A334" s="1" t="n">
        <f aca="false">+A314+1</f>
        <v>10</v>
      </c>
      <c r="B334" s="102" t="s">
        <v>248</v>
      </c>
      <c r="C334" s="103"/>
      <c r="D334" s="100"/>
      <c r="E334" s="43"/>
      <c r="F334" s="12" t="str">
        <f aca="false">F314</f>
        <v>2024-25</v>
      </c>
      <c r="G334" s="12" t="str">
        <f aca="false">G314</f>
        <v>2023-24</v>
      </c>
      <c r="H334" s="189"/>
      <c r="I334" s="189"/>
      <c r="J334" s="189"/>
      <c r="K334" s="189"/>
      <c r="L334" s="189"/>
      <c r="M334" s="189"/>
      <c r="N334" s="189"/>
      <c r="O334" s="189"/>
      <c r="P334" s="189"/>
      <c r="Q334" s="189"/>
      <c r="R334" s="189"/>
      <c r="S334" s="189"/>
      <c r="T334" s="189"/>
      <c r="U334" s="189"/>
      <c r="V334" s="189"/>
      <c r="W334" s="189"/>
      <c r="X334" s="189"/>
      <c r="Y334" s="189"/>
      <c r="Z334" s="189"/>
      <c r="AA334" s="189"/>
      <c r="AB334" s="189"/>
      <c r="AC334" s="189"/>
      <c r="AD334" s="189"/>
      <c r="AE334" s="189"/>
      <c r="AF334" s="189"/>
      <c r="AG334" s="189"/>
      <c r="AH334" s="189"/>
      <c r="AI334" s="189"/>
      <c r="AJ334" s="189"/>
      <c r="AK334" s="189"/>
      <c r="AL334" s="189"/>
      <c r="AM334" s="189"/>
      <c r="AN334" s="189"/>
      <c r="AO334" s="189"/>
      <c r="AP334" s="189"/>
      <c r="AQ334" s="189"/>
      <c r="AR334" s="189"/>
      <c r="AS334" s="189"/>
      <c r="AT334" s="189"/>
      <c r="AU334" s="189"/>
      <c r="AV334" s="189"/>
      <c r="AW334" s="189"/>
      <c r="AX334" s="189"/>
      <c r="AY334" s="189"/>
      <c r="AZ334" s="189"/>
      <c r="BA334" s="189"/>
      <c r="BB334" s="189"/>
      <c r="BC334" s="189"/>
      <c r="BD334" s="189"/>
      <c r="BE334" s="189"/>
      <c r="BF334" s="189"/>
      <c r="BG334" s="189"/>
      <c r="BH334" s="189"/>
      <c r="BI334" s="189"/>
      <c r="BJ334" s="189"/>
      <c r="BK334" s="189"/>
      <c r="BL334" s="189"/>
      <c r="BM334" s="189"/>
      <c r="BN334" s="189"/>
      <c r="BO334" s="189"/>
      <c r="BP334" s="189"/>
      <c r="BQ334" s="189"/>
      <c r="BR334" s="189"/>
      <c r="BS334" s="189"/>
      <c r="BT334" s="189"/>
      <c r="BU334" s="189"/>
      <c r="BV334" s="189"/>
      <c r="BW334" s="189"/>
      <c r="BX334" s="189"/>
      <c r="BY334" s="189"/>
      <c r="BZ334" s="189"/>
      <c r="CA334" s="189"/>
    </row>
    <row r="335" s="190" customFormat="true" ht="15" hidden="false" customHeight="false" outlineLevel="0" collapsed="false">
      <c r="A335" s="105"/>
      <c r="B335" s="81"/>
      <c r="C335" s="79"/>
      <c r="D335" s="79"/>
      <c r="E335" s="54"/>
      <c r="F335" s="20" t="str">
        <f aca="false">F315</f>
        <v>Rs.</v>
      </c>
      <c r="G335" s="20" t="str">
        <f aca="false">G315</f>
        <v>Rs.</v>
      </c>
      <c r="H335" s="189"/>
      <c r="I335" s="189"/>
      <c r="J335" s="189"/>
      <c r="K335" s="189"/>
      <c r="L335" s="189"/>
      <c r="M335" s="189"/>
      <c r="N335" s="189"/>
      <c r="O335" s="189"/>
      <c r="P335" s="189"/>
      <c r="Q335" s="189"/>
      <c r="R335" s="189"/>
      <c r="S335" s="189"/>
      <c r="T335" s="189"/>
      <c r="U335" s="189"/>
      <c r="V335" s="189"/>
      <c r="W335" s="189"/>
      <c r="X335" s="189"/>
      <c r="Y335" s="189"/>
      <c r="Z335" s="189"/>
      <c r="AA335" s="189"/>
      <c r="AB335" s="189"/>
      <c r="AC335" s="189"/>
      <c r="AD335" s="189"/>
      <c r="AE335" s="189"/>
      <c r="AF335" s="189"/>
      <c r="AG335" s="189"/>
      <c r="AH335" s="189"/>
      <c r="AI335" s="189"/>
      <c r="AJ335" s="189"/>
      <c r="AK335" s="189"/>
      <c r="AL335" s="189"/>
      <c r="AM335" s="189"/>
      <c r="AN335" s="189"/>
      <c r="AO335" s="189"/>
      <c r="AP335" s="189"/>
      <c r="AQ335" s="189"/>
      <c r="AR335" s="189"/>
      <c r="AS335" s="189"/>
      <c r="AT335" s="189"/>
      <c r="AU335" s="189"/>
      <c r="AV335" s="189"/>
      <c r="AW335" s="189"/>
      <c r="AX335" s="189"/>
      <c r="AY335" s="189"/>
      <c r="AZ335" s="189"/>
      <c r="BA335" s="189"/>
      <c r="BB335" s="189"/>
      <c r="BC335" s="189"/>
      <c r="BD335" s="189"/>
      <c r="BE335" s="189"/>
      <c r="BF335" s="189"/>
      <c r="BG335" s="189"/>
      <c r="BH335" s="189"/>
      <c r="BI335" s="189"/>
      <c r="BJ335" s="189"/>
      <c r="BK335" s="189"/>
      <c r="BL335" s="189"/>
      <c r="BM335" s="189"/>
      <c r="BN335" s="189"/>
      <c r="BO335" s="189"/>
      <c r="BP335" s="189"/>
      <c r="BQ335" s="189"/>
      <c r="BR335" s="189"/>
      <c r="BS335" s="189"/>
      <c r="BT335" s="189"/>
      <c r="BU335" s="189"/>
      <c r="BV335" s="189"/>
      <c r="BW335" s="189"/>
      <c r="BX335" s="189"/>
      <c r="BY335" s="189"/>
      <c r="BZ335" s="189"/>
      <c r="CA335" s="189"/>
    </row>
    <row r="336" s="190" customFormat="true" ht="15" hidden="false" customHeight="false" outlineLevel="0" collapsed="false">
      <c r="A336" s="1"/>
      <c r="B336" s="40" t="s">
        <v>249</v>
      </c>
      <c r="C336" s="48"/>
      <c r="D336" s="189"/>
      <c r="E336" s="37"/>
      <c r="F336" s="159" t="n">
        <f aca="false">+F88</f>
        <v>32000</v>
      </c>
      <c r="G336" s="193" t="n">
        <f aca="false">+G88</f>
        <v>55000</v>
      </c>
      <c r="H336" s="189"/>
      <c r="I336" s="189"/>
      <c r="J336" s="189"/>
      <c r="K336" s="189"/>
      <c r="L336" s="189"/>
      <c r="M336" s="189"/>
      <c r="N336" s="189"/>
      <c r="O336" s="189"/>
      <c r="P336" s="189"/>
      <c r="Q336" s="189"/>
      <c r="R336" s="189"/>
      <c r="S336" s="189"/>
      <c r="T336" s="189"/>
      <c r="U336" s="189"/>
      <c r="V336" s="189"/>
      <c r="W336" s="189"/>
      <c r="X336" s="189"/>
      <c r="Y336" s="189"/>
      <c r="Z336" s="189"/>
      <c r="AA336" s="189"/>
      <c r="AB336" s="189"/>
      <c r="AC336" s="189"/>
      <c r="AD336" s="189"/>
      <c r="AE336" s="189"/>
      <c r="AF336" s="189"/>
      <c r="AG336" s="189"/>
      <c r="AH336" s="189"/>
      <c r="AI336" s="189"/>
      <c r="AJ336" s="189"/>
      <c r="AK336" s="189"/>
      <c r="AL336" s="189"/>
      <c r="AM336" s="189"/>
      <c r="AN336" s="189"/>
      <c r="AO336" s="189"/>
      <c r="AP336" s="189"/>
      <c r="AQ336" s="189"/>
      <c r="AR336" s="189"/>
      <c r="AS336" s="189"/>
      <c r="AT336" s="189"/>
      <c r="AU336" s="189"/>
      <c r="AV336" s="189"/>
      <c r="AW336" s="189"/>
      <c r="AX336" s="189"/>
      <c r="AY336" s="189"/>
      <c r="AZ336" s="189"/>
      <c r="BA336" s="189"/>
      <c r="BB336" s="189"/>
      <c r="BC336" s="189"/>
      <c r="BD336" s="189"/>
      <c r="BE336" s="189"/>
      <c r="BF336" s="189"/>
      <c r="BG336" s="189"/>
      <c r="BH336" s="189"/>
      <c r="BI336" s="189"/>
      <c r="BJ336" s="189"/>
      <c r="BK336" s="189"/>
      <c r="BL336" s="189"/>
      <c r="BM336" s="189"/>
      <c r="BN336" s="189"/>
      <c r="BO336" s="189"/>
      <c r="BP336" s="189"/>
      <c r="BQ336" s="189"/>
      <c r="BR336" s="189"/>
      <c r="BS336" s="189"/>
      <c r="BT336" s="189"/>
      <c r="BU336" s="189"/>
      <c r="BV336" s="189"/>
      <c r="BW336" s="189"/>
      <c r="BX336" s="189"/>
      <c r="BY336" s="189"/>
      <c r="BZ336" s="189"/>
      <c r="CA336" s="189"/>
    </row>
    <row r="337" s="190" customFormat="true" ht="15" hidden="false" customHeight="false" outlineLevel="0" collapsed="false">
      <c r="A337" s="1"/>
      <c r="B337" s="40" t="s">
        <v>250</v>
      </c>
      <c r="C337" s="156"/>
      <c r="D337" s="189"/>
      <c r="E337" s="54"/>
      <c r="F337" s="41" t="n">
        <f aca="false">17321</f>
        <v>17321</v>
      </c>
      <c r="G337" s="41" t="n">
        <v>5420</v>
      </c>
      <c r="H337" s="189"/>
      <c r="I337" s="189"/>
      <c r="J337" s="189"/>
      <c r="K337" s="189"/>
      <c r="L337" s="189"/>
      <c r="M337" s="189"/>
      <c r="N337" s="189"/>
      <c r="O337" s="189"/>
      <c r="P337" s="189"/>
      <c r="Q337" s="189"/>
      <c r="R337" s="189"/>
      <c r="S337" s="189"/>
      <c r="T337" s="189"/>
      <c r="U337" s="189"/>
      <c r="V337" s="189"/>
      <c r="W337" s="189"/>
      <c r="X337" s="189"/>
      <c r="Y337" s="189"/>
      <c r="Z337" s="189"/>
      <c r="AA337" s="189"/>
      <c r="AB337" s="189"/>
      <c r="AC337" s="189"/>
      <c r="AD337" s="189"/>
      <c r="AE337" s="189"/>
      <c r="AF337" s="189"/>
      <c r="AG337" s="189"/>
      <c r="AH337" s="189"/>
      <c r="AI337" s="189"/>
      <c r="AJ337" s="189"/>
      <c r="AK337" s="189"/>
      <c r="AL337" s="189"/>
      <c r="AM337" s="189"/>
      <c r="AN337" s="189"/>
      <c r="AO337" s="189"/>
      <c r="AP337" s="189"/>
      <c r="AQ337" s="189"/>
      <c r="AR337" s="189"/>
      <c r="AS337" s="189"/>
      <c r="AT337" s="189"/>
      <c r="AU337" s="189"/>
      <c r="AV337" s="189"/>
      <c r="AW337" s="189"/>
      <c r="AX337" s="189"/>
      <c r="AY337" s="189"/>
      <c r="AZ337" s="189"/>
      <c r="BA337" s="189"/>
      <c r="BB337" s="189"/>
      <c r="BC337" s="189"/>
      <c r="BD337" s="189"/>
      <c r="BE337" s="189"/>
      <c r="BF337" s="189"/>
      <c r="BG337" s="189"/>
      <c r="BH337" s="189"/>
      <c r="BI337" s="189"/>
      <c r="BJ337" s="189"/>
      <c r="BK337" s="189"/>
      <c r="BL337" s="189"/>
      <c r="BM337" s="189"/>
      <c r="BN337" s="189"/>
      <c r="BO337" s="189"/>
      <c r="BP337" s="189"/>
      <c r="BQ337" s="189"/>
      <c r="BR337" s="189"/>
      <c r="BS337" s="189"/>
      <c r="BT337" s="189"/>
      <c r="BU337" s="189"/>
      <c r="BV337" s="189"/>
      <c r="BW337" s="189"/>
      <c r="BX337" s="189"/>
      <c r="BY337" s="189"/>
      <c r="BZ337" s="189"/>
      <c r="CA337" s="189"/>
    </row>
    <row r="338" s="190" customFormat="true" ht="15" hidden="false" customHeight="false" outlineLevel="0" collapsed="false">
      <c r="A338" s="1"/>
      <c r="B338" s="81"/>
      <c r="C338" s="79"/>
      <c r="D338" s="79"/>
      <c r="E338" s="54"/>
      <c r="F338" s="148" t="n">
        <f aca="false">+F336-F337</f>
        <v>14679</v>
      </c>
      <c r="G338" s="148" t="n">
        <f aca="false">+G336-G337</f>
        <v>49580</v>
      </c>
      <c r="H338" s="189"/>
      <c r="I338" s="189"/>
      <c r="J338" s="189"/>
      <c r="K338" s="189"/>
      <c r="L338" s="189"/>
      <c r="M338" s="189"/>
      <c r="N338" s="189"/>
      <c r="O338" s="189"/>
      <c r="P338" s="189"/>
      <c r="Q338" s="189"/>
      <c r="R338" s="189"/>
      <c r="S338" s="189"/>
      <c r="T338" s="189"/>
      <c r="U338" s="189"/>
      <c r="V338" s="189"/>
      <c r="W338" s="189"/>
      <c r="X338" s="189"/>
      <c r="Y338" s="189"/>
      <c r="Z338" s="189"/>
      <c r="AA338" s="189"/>
      <c r="AB338" s="189"/>
      <c r="AC338" s="189"/>
      <c r="AD338" s="189"/>
      <c r="AE338" s="189"/>
      <c r="AF338" s="189"/>
      <c r="AG338" s="189"/>
      <c r="AH338" s="189"/>
      <c r="AI338" s="189"/>
      <c r="AJ338" s="189"/>
      <c r="AK338" s="189"/>
      <c r="AL338" s="189"/>
      <c r="AM338" s="189"/>
      <c r="AN338" s="189"/>
      <c r="AO338" s="189"/>
      <c r="AP338" s="189"/>
      <c r="AQ338" s="189"/>
      <c r="AR338" s="189"/>
      <c r="AS338" s="189"/>
      <c r="AT338" s="189"/>
      <c r="AU338" s="189"/>
      <c r="AV338" s="189"/>
      <c r="AW338" s="189"/>
      <c r="AX338" s="189"/>
      <c r="AY338" s="189"/>
      <c r="AZ338" s="189"/>
      <c r="BA338" s="189"/>
      <c r="BB338" s="189"/>
      <c r="BC338" s="189"/>
      <c r="BD338" s="189"/>
      <c r="BE338" s="189"/>
      <c r="BF338" s="189"/>
      <c r="BG338" s="189"/>
      <c r="BH338" s="189"/>
      <c r="BI338" s="189"/>
      <c r="BJ338" s="189"/>
      <c r="BK338" s="189"/>
      <c r="BL338" s="189"/>
      <c r="BM338" s="189"/>
      <c r="BN338" s="189"/>
      <c r="BO338" s="189"/>
      <c r="BP338" s="189"/>
      <c r="BQ338" s="189"/>
      <c r="BR338" s="189"/>
      <c r="BS338" s="189"/>
      <c r="BT338" s="189"/>
      <c r="BU338" s="189"/>
      <c r="BV338" s="189"/>
      <c r="BW338" s="189"/>
      <c r="BX338" s="189"/>
      <c r="BY338" s="189"/>
      <c r="BZ338" s="189"/>
      <c r="CA338" s="189"/>
    </row>
    <row r="339" customFormat="false" ht="15" hidden="false" customHeight="false" outlineLevel="0" collapsed="false">
      <c r="B339" s="3"/>
      <c r="C339" s="3"/>
      <c r="D339" s="3"/>
      <c r="E339" s="3"/>
    </row>
    <row r="340" customFormat="false" ht="12.75" hidden="false" customHeight="true" outlineLevel="0" collapsed="false">
      <c r="A340" s="1" t="n">
        <f aca="false">'Dep. SCH'!A3+1</f>
        <v>12</v>
      </c>
      <c r="B340" s="102" t="s">
        <v>251</v>
      </c>
      <c r="C340" s="103"/>
      <c r="D340" s="5"/>
      <c r="E340" s="43"/>
      <c r="F340" s="12" t="str">
        <f aca="false">F334</f>
        <v>2024-25</v>
      </c>
      <c r="G340" s="12" t="str">
        <f aca="false">G334</f>
        <v>2023-24</v>
      </c>
    </row>
    <row r="341" customFormat="false" ht="15" hidden="false" customHeight="false" outlineLevel="0" collapsed="false">
      <c r="B341" s="81"/>
      <c r="C341" s="79"/>
      <c r="D341" s="79"/>
      <c r="E341" s="54"/>
      <c r="F341" s="194" t="str">
        <f aca="false">F335</f>
        <v>Rs.</v>
      </c>
      <c r="G341" s="194" t="str">
        <f aca="false">G335</f>
        <v>Rs.</v>
      </c>
    </row>
    <row r="342" customFormat="false" ht="15" hidden="false" customHeight="false" outlineLevel="0" collapsed="false">
      <c r="B342" s="153" t="s">
        <v>252</v>
      </c>
      <c r="C342" s="36"/>
      <c r="D342" s="3"/>
      <c r="E342" s="3"/>
      <c r="F342" s="128"/>
      <c r="G342" s="195"/>
    </row>
    <row r="343" customFormat="false" ht="15" hidden="false" customHeight="false" outlineLevel="0" collapsed="false">
      <c r="B343" s="40"/>
      <c r="C343" s="3"/>
      <c r="D343" s="3" t="s">
        <v>253</v>
      </c>
      <c r="E343" s="3"/>
      <c r="F343" s="24"/>
      <c r="G343" s="24"/>
    </row>
    <row r="344" customFormat="false" ht="15" hidden="false" customHeight="false" outlineLevel="0" collapsed="false">
      <c r="B344" s="40"/>
      <c r="C344" s="3"/>
      <c r="D344" s="3"/>
      <c r="E344" s="3"/>
      <c r="F344" s="196" t="n">
        <f aca="false">SUM(F342:F343)</f>
        <v>0</v>
      </c>
      <c r="G344" s="196" t="n">
        <f aca="false">SUM(G342:G343)</f>
        <v>0</v>
      </c>
    </row>
    <row r="345" customFormat="false" ht="15" hidden="false" customHeight="false" outlineLevel="0" collapsed="false">
      <c r="B345" s="40" t="s">
        <v>254</v>
      </c>
      <c r="C345" s="3"/>
      <c r="D345" s="3"/>
      <c r="E345" s="3"/>
      <c r="F345" s="197"/>
      <c r="G345" s="197"/>
    </row>
    <row r="346" customFormat="false" ht="15" hidden="false" customHeight="false" outlineLevel="0" collapsed="false">
      <c r="B346" s="40"/>
      <c r="C346" s="3"/>
      <c r="D346" s="3" t="s">
        <v>255</v>
      </c>
      <c r="E346" s="3"/>
      <c r="F346" s="197" t="n">
        <v>0</v>
      </c>
      <c r="G346" s="197" t="n">
        <v>0</v>
      </c>
    </row>
    <row r="347" customFormat="false" ht="15" hidden="false" customHeight="false" outlineLevel="0" collapsed="false">
      <c r="B347" s="40"/>
      <c r="C347" s="3"/>
      <c r="D347" s="3" t="s">
        <v>1</v>
      </c>
      <c r="E347" s="3"/>
      <c r="F347" s="198" t="n">
        <f aca="false">SUM(F345:F346)</f>
        <v>0</v>
      </c>
      <c r="G347" s="198" t="n">
        <f aca="false">SUM(G345:G346)</f>
        <v>0</v>
      </c>
    </row>
    <row r="348" customFormat="false" ht="15" hidden="false" customHeight="false" outlineLevel="0" collapsed="false">
      <c r="B348" s="81"/>
      <c r="C348" s="79"/>
      <c r="D348" s="53" t="s">
        <v>179</v>
      </c>
      <c r="E348" s="53"/>
      <c r="F348" s="199" t="n">
        <f aca="false">+F347+F344</f>
        <v>0</v>
      </c>
      <c r="G348" s="199" t="n">
        <f aca="false">+G347+G344</f>
        <v>0</v>
      </c>
    </row>
    <row r="349" customFormat="false" ht="9.75" hidden="false" customHeight="true" outlineLevel="0" collapsed="false">
      <c r="D349" s="3"/>
      <c r="E349" s="3"/>
    </row>
    <row r="350" customFormat="false" ht="15" hidden="false" customHeight="false" outlineLevel="0" collapsed="false">
      <c r="D350" s="3"/>
      <c r="E350" s="3"/>
      <c r="F350" s="3"/>
      <c r="G350" s="3"/>
    </row>
    <row r="351" customFormat="false" ht="15" hidden="false" customHeight="false" outlineLevel="0" collapsed="false">
      <c r="A351" s="1" t="n">
        <f aca="false">A340+1</f>
        <v>13</v>
      </c>
      <c r="B351" s="102" t="s">
        <v>256</v>
      </c>
      <c r="C351" s="103"/>
      <c r="D351" s="5"/>
      <c r="E351" s="43"/>
      <c r="F351" s="12" t="str">
        <f aca="false">F340</f>
        <v>2024-25</v>
      </c>
      <c r="G351" s="12" t="str">
        <f aca="false">G340</f>
        <v>2023-24</v>
      </c>
    </row>
    <row r="352" customFormat="false" ht="15" hidden="false" customHeight="false" outlineLevel="0" collapsed="false">
      <c r="B352" s="81"/>
      <c r="C352" s="79"/>
      <c r="D352" s="79"/>
      <c r="E352" s="54"/>
      <c r="F352" s="194" t="str">
        <f aca="false">F341</f>
        <v>Rs.</v>
      </c>
      <c r="G352" s="194" t="str">
        <f aca="false">G341</f>
        <v>Rs.</v>
      </c>
    </row>
    <row r="353" customFormat="false" ht="15" hidden="false" customHeight="false" outlineLevel="0" collapsed="false">
      <c r="B353" s="40"/>
      <c r="C353" s="3"/>
      <c r="D353" s="3"/>
      <c r="E353" s="3"/>
      <c r="F353" s="200"/>
      <c r="G353" s="201"/>
    </row>
    <row r="354" customFormat="false" ht="15" hidden="false" customHeight="false" outlineLevel="0" collapsed="false">
      <c r="B354" s="40" t="s">
        <v>257</v>
      </c>
      <c r="C354" s="3"/>
      <c r="D354" s="3"/>
      <c r="E354" s="3"/>
      <c r="F354" s="91" t="n">
        <v>0</v>
      </c>
      <c r="G354" s="201" t="n">
        <v>0</v>
      </c>
    </row>
    <row r="355" customFormat="false" ht="15" hidden="false" customHeight="false" outlineLevel="0" collapsed="false">
      <c r="B355" s="40"/>
      <c r="C355" s="3"/>
      <c r="D355" s="3"/>
      <c r="E355" s="37"/>
      <c r="F355" s="91"/>
      <c r="G355" s="202"/>
    </row>
    <row r="356" customFormat="false" ht="15" hidden="false" customHeight="false" outlineLevel="0" collapsed="false">
      <c r="B356" s="40"/>
      <c r="C356" s="3"/>
      <c r="D356" s="3" t="s">
        <v>258</v>
      </c>
      <c r="E356" s="37"/>
      <c r="F356" s="203" t="n">
        <f aca="false">SUM(F353:F355)</f>
        <v>0</v>
      </c>
      <c r="G356" s="203" t="n">
        <f aca="false">SUM(G353:G355)</f>
        <v>0</v>
      </c>
    </row>
    <row r="357" customFormat="false" ht="15" hidden="false" customHeight="false" outlineLevel="0" collapsed="false">
      <c r="B357" s="40" t="s">
        <v>259</v>
      </c>
      <c r="C357" s="3"/>
      <c r="D357" s="3"/>
      <c r="E357" s="3"/>
      <c r="F357" s="91"/>
      <c r="G357" s="201"/>
    </row>
    <row r="358" customFormat="false" ht="15" hidden="false" customHeight="false" outlineLevel="0" collapsed="false">
      <c r="B358" s="40" t="s">
        <v>260</v>
      </c>
      <c r="C358" s="3"/>
      <c r="D358" s="3"/>
      <c r="E358" s="3"/>
      <c r="F358" s="91" t="n">
        <v>20000</v>
      </c>
      <c r="G358" s="91" t="n">
        <v>20000</v>
      </c>
    </row>
    <row r="359" customFormat="false" ht="15" hidden="false" customHeight="false" outlineLevel="0" collapsed="false">
      <c r="B359" s="40" t="s">
        <v>261</v>
      </c>
      <c r="C359" s="3"/>
      <c r="D359" s="3"/>
      <c r="E359" s="3"/>
      <c r="F359" s="91" t="n">
        <v>25425</v>
      </c>
      <c r="G359" s="91" t="n">
        <v>26639</v>
      </c>
    </row>
    <row r="360" customFormat="false" ht="15" hidden="false" customHeight="false" outlineLevel="0" collapsed="false">
      <c r="B360" s="40"/>
      <c r="C360" s="3"/>
      <c r="D360" s="3"/>
      <c r="E360" s="3"/>
      <c r="F360" s="91"/>
      <c r="G360" s="201"/>
    </row>
    <row r="361" customFormat="false" ht="15" hidden="false" customHeight="false" outlineLevel="0" collapsed="false">
      <c r="B361" s="40"/>
      <c r="C361" s="3"/>
      <c r="D361" s="3" t="s">
        <v>258</v>
      </c>
      <c r="E361" s="37"/>
      <c r="F361" s="203" t="n">
        <f aca="false">SUM(F358:F360)</f>
        <v>45425</v>
      </c>
      <c r="G361" s="203" t="n">
        <f aca="false">SUM(G358:G360)</f>
        <v>46639</v>
      </c>
    </row>
    <row r="362" customFormat="false" ht="15" hidden="false" customHeight="false" outlineLevel="0" collapsed="false">
      <c r="B362" s="81" t="s">
        <v>262</v>
      </c>
      <c r="C362" s="79"/>
      <c r="D362" s="79"/>
      <c r="E362" s="54"/>
      <c r="F362" s="42" t="n">
        <f aca="false">+F361+F356</f>
        <v>45425</v>
      </c>
      <c r="G362" s="42" t="n">
        <f aca="false">+G361+G356</f>
        <v>46639</v>
      </c>
    </row>
    <row r="363" customFormat="false" ht="15" hidden="false" customHeight="false" outlineLevel="0" collapsed="false">
      <c r="B363" s="3"/>
      <c r="C363" s="3"/>
      <c r="D363" s="3"/>
      <c r="E363" s="3"/>
      <c r="F363" s="3"/>
      <c r="G363" s="3"/>
    </row>
    <row r="364" customFormat="false" ht="15" hidden="false" customHeight="false" outlineLevel="0" collapsed="false">
      <c r="A364" s="1" t="n">
        <f aca="false">+A351+1</f>
        <v>14</v>
      </c>
      <c r="B364" s="102" t="s">
        <v>263</v>
      </c>
      <c r="C364" s="103"/>
      <c r="D364" s="5"/>
      <c r="E364" s="43"/>
      <c r="F364" s="12" t="str">
        <f aca="false">F351</f>
        <v>2024-25</v>
      </c>
      <c r="G364" s="12" t="str">
        <f aca="false">G351</f>
        <v>2023-24</v>
      </c>
    </row>
    <row r="365" customFormat="false" ht="15" hidden="false" customHeight="false" outlineLevel="0" collapsed="false">
      <c r="A365" s="76"/>
      <c r="B365" s="81"/>
      <c r="C365" s="79"/>
      <c r="D365" s="79"/>
      <c r="E365" s="54"/>
      <c r="F365" s="194" t="str">
        <f aca="false">F352</f>
        <v>Rs.</v>
      </c>
      <c r="G365" s="194" t="str">
        <f aca="false">G352</f>
        <v>Rs.</v>
      </c>
    </row>
    <row r="366" customFormat="false" ht="15" hidden="false" customHeight="false" outlineLevel="0" collapsed="false">
      <c r="A366" s="76"/>
      <c r="B366" s="152" t="s">
        <v>264</v>
      </c>
      <c r="C366" s="5"/>
      <c r="D366" s="5"/>
      <c r="E366" s="43"/>
      <c r="F366" s="128"/>
      <c r="G366" s="128"/>
    </row>
    <row r="367" customFormat="false" ht="15" hidden="false" customHeight="false" outlineLevel="0" collapsed="false">
      <c r="A367" s="76"/>
      <c r="B367" s="40" t="s">
        <v>265</v>
      </c>
      <c r="C367" s="3"/>
      <c r="D367" s="3"/>
      <c r="E367" s="37"/>
      <c r="F367" s="22"/>
      <c r="G367" s="22"/>
    </row>
    <row r="368" customFormat="false" ht="15" hidden="false" customHeight="false" outlineLevel="0" collapsed="false">
      <c r="A368" s="76"/>
      <c r="B368" s="40"/>
      <c r="C368" s="3"/>
      <c r="D368" s="3" t="s">
        <v>266</v>
      </c>
      <c r="E368" s="37"/>
      <c r="F368" s="24" t="n">
        <v>0</v>
      </c>
      <c r="G368" s="204" t="n">
        <v>0</v>
      </c>
    </row>
    <row r="369" customFormat="false" ht="15" hidden="false" customHeight="false" outlineLevel="0" collapsed="false">
      <c r="A369" s="76"/>
      <c r="B369" s="40"/>
      <c r="C369" s="3"/>
      <c r="D369" s="3" t="s">
        <v>267</v>
      </c>
      <c r="E369" s="37"/>
      <c r="F369" s="24" t="n">
        <v>0</v>
      </c>
      <c r="G369" s="204" t="n">
        <v>0</v>
      </c>
    </row>
    <row r="370" customFormat="false" ht="15" hidden="false" customHeight="false" outlineLevel="0" collapsed="false">
      <c r="A370" s="76"/>
      <c r="B370" s="40"/>
      <c r="C370" s="3"/>
      <c r="D370" s="3" t="s">
        <v>268</v>
      </c>
      <c r="E370" s="37"/>
      <c r="F370" s="24" t="n">
        <f aca="false">71260850+4062000</f>
        <v>75322850</v>
      </c>
      <c r="G370" s="24" t="n">
        <v>71260850</v>
      </c>
    </row>
    <row r="371" customFormat="false" ht="15" hidden="false" customHeight="false" outlineLevel="0" collapsed="false">
      <c r="A371" s="76"/>
      <c r="B371" s="40"/>
      <c r="C371" s="3"/>
      <c r="D371" s="3" t="s">
        <v>269</v>
      </c>
      <c r="E371" s="37"/>
      <c r="F371" s="24" t="n">
        <v>0</v>
      </c>
      <c r="G371" s="204" t="n">
        <v>0</v>
      </c>
    </row>
    <row r="372" customFormat="false" ht="15" hidden="false" customHeight="false" outlineLevel="0" collapsed="false">
      <c r="A372" s="76"/>
      <c r="B372" s="40"/>
      <c r="C372" s="3"/>
      <c r="D372" s="3" t="s">
        <v>270</v>
      </c>
      <c r="E372" s="37"/>
      <c r="F372" s="24" t="n">
        <v>0</v>
      </c>
      <c r="G372" s="204" t="n">
        <v>0</v>
      </c>
    </row>
    <row r="373" customFormat="false" ht="15" hidden="false" customHeight="false" outlineLevel="0" collapsed="false">
      <c r="A373" s="76"/>
      <c r="B373" s="40"/>
      <c r="C373" s="3"/>
      <c r="D373" s="3"/>
      <c r="E373" s="37"/>
      <c r="F373" s="24"/>
      <c r="G373" s="24"/>
    </row>
    <row r="374" customFormat="false" ht="15" hidden="false" customHeight="false" outlineLevel="0" collapsed="false">
      <c r="A374" s="76"/>
      <c r="B374" s="81"/>
      <c r="C374" s="79"/>
      <c r="D374" s="79"/>
      <c r="E374" s="54"/>
      <c r="F374" s="205" t="n">
        <f aca="false">SUM(F367:F373)</f>
        <v>75322850</v>
      </c>
      <c r="G374" s="205" t="n">
        <f aca="false">SUM(G367:G373)</f>
        <v>71260850</v>
      </c>
    </row>
    <row r="375" customFormat="false" ht="15" hidden="false" customHeight="false" outlineLevel="0" collapsed="false">
      <c r="A375" s="76"/>
      <c r="F375" s="3"/>
      <c r="G375" s="3"/>
    </row>
    <row r="376" customFormat="false" ht="15" hidden="false" customHeight="false" outlineLevel="0" collapsed="false">
      <c r="A376" s="76"/>
      <c r="B376" s="206" t="s">
        <v>271</v>
      </c>
      <c r="C376" s="206"/>
      <c r="D376" s="193"/>
      <c r="F376" s="3"/>
      <c r="G376" s="3"/>
    </row>
    <row r="377" customFormat="false" ht="15" hidden="false" customHeight="false" outlineLevel="0" collapsed="false">
      <c r="A377" s="76"/>
      <c r="B377" s="40"/>
      <c r="D377" s="100" t="s">
        <v>266</v>
      </c>
      <c r="E377" s="43"/>
      <c r="F377" s="22" t="n">
        <f aca="false">+F368</f>
        <v>0</v>
      </c>
      <c r="G377" s="22" t="n">
        <f aca="false">+G368</f>
        <v>0</v>
      </c>
    </row>
    <row r="378" customFormat="false" ht="15" hidden="false" customHeight="false" outlineLevel="0" collapsed="false">
      <c r="A378" s="76"/>
      <c r="B378" s="81"/>
      <c r="C378" s="79"/>
      <c r="D378" s="79"/>
      <c r="E378" s="54"/>
      <c r="F378" s="148" t="n">
        <f aca="false">SUM(F377:F377)</f>
        <v>0</v>
      </c>
      <c r="G378" s="148" t="n">
        <f aca="false">SUM(G377:G377)</f>
        <v>0</v>
      </c>
    </row>
    <row r="379" customFormat="false" ht="15" hidden="false" customHeight="false" outlineLevel="0" collapsed="false">
      <c r="A379" s="76"/>
      <c r="B379" s="3"/>
      <c r="C379" s="3"/>
      <c r="D379" s="3"/>
      <c r="E379" s="3"/>
      <c r="F379" s="48"/>
      <c r="G379" s="48"/>
    </row>
    <row r="380" customFormat="false" ht="15" hidden="false" customHeight="false" outlineLevel="0" collapsed="false">
      <c r="A380" s="76"/>
      <c r="D380" s="193" t="s">
        <v>272</v>
      </c>
      <c r="F380" s="3"/>
      <c r="G380" s="3"/>
    </row>
    <row r="381" customFormat="false" ht="15" hidden="false" customHeight="false" outlineLevel="0" collapsed="false">
      <c r="A381" s="76"/>
      <c r="B381" s="152"/>
      <c r="C381" s="5"/>
      <c r="D381" s="5"/>
      <c r="E381" s="43"/>
      <c r="F381" s="22" t="n">
        <f aca="false">+F369</f>
        <v>0</v>
      </c>
      <c r="G381" s="22" t="n">
        <f aca="false">+G369</f>
        <v>0</v>
      </c>
    </row>
    <row r="382" customFormat="false" ht="15" hidden="false" customHeight="false" outlineLevel="0" collapsed="false">
      <c r="A382" s="76"/>
      <c r="B382" s="81"/>
      <c r="C382" s="79"/>
      <c r="D382" s="79"/>
      <c r="E382" s="54"/>
      <c r="F382" s="148" t="n">
        <f aca="false">SUM(F380:F381)</f>
        <v>0</v>
      </c>
      <c r="G382" s="148" t="n">
        <f aca="false">SUM(G380:G381)</f>
        <v>0</v>
      </c>
    </row>
    <row r="383" customFormat="false" ht="15" hidden="false" customHeight="false" outlineLevel="0" collapsed="false">
      <c r="A383" s="76"/>
      <c r="D383" s="193" t="s">
        <v>273</v>
      </c>
      <c r="F383" s="3"/>
    </row>
    <row r="384" customFormat="false" ht="15" hidden="false" customHeight="false" outlineLevel="0" collapsed="false">
      <c r="A384" s="76"/>
      <c r="B384" s="152"/>
      <c r="C384" s="5"/>
      <c r="D384" s="5"/>
      <c r="E384" s="43"/>
      <c r="F384" s="22" t="n">
        <f aca="false">+F370</f>
        <v>75322850</v>
      </c>
      <c r="G384" s="22" t="n">
        <f aca="false">+G370</f>
        <v>71260850</v>
      </c>
    </row>
    <row r="385" customFormat="false" ht="15" hidden="false" customHeight="false" outlineLevel="0" collapsed="false">
      <c r="A385" s="76"/>
      <c r="B385" s="81"/>
      <c r="C385" s="79"/>
      <c r="D385" s="79"/>
      <c r="E385" s="54"/>
      <c r="F385" s="148"/>
      <c r="G385" s="148"/>
    </row>
    <row r="386" customFormat="false" ht="15" hidden="false" customHeight="false" outlineLevel="0" collapsed="false">
      <c r="A386" s="76"/>
      <c r="B386" s="3"/>
      <c r="C386" s="3"/>
      <c r="D386" s="3"/>
      <c r="E386" s="3"/>
      <c r="F386" s="48"/>
      <c r="G386" s="48"/>
    </row>
    <row r="387" customFormat="false" ht="15" hidden="false" customHeight="false" outlineLevel="0" collapsed="false">
      <c r="A387" s="76"/>
      <c r="B387" s="79"/>
      <c r="C387" s="79"/>
      <c r="D387" s="79" t="s">
        <v>274</v>
      </c>
      <c r="E387" s="79"/>
      <c r="F387" s="79"/>
      <c r="G387" s="79"/>
    </row>
    <row r="388" customFormat="false" ht="15" hidden="false" customHeight="false" outlineLevel="0" collapsed="false">
      <c r="A388" s="76"/>
      <c r="B388" s="40"/>
      <c r="C388" s="3"/>
      <c r="D388" s="3"/>
      <c r="E388" s="37"/>
      <c r="F388" s="24" t="n">
        <f aca="false">+F370</f>
        <v>75322850</v>
      </c>
      <c r="G388" s="24" t="n">
        <f aca="false">+G370</f>
        <v>71260850</v>
      </c>
    </row>
    <row r="389" customFormat="false" ht="15" hidden="false" customHeight="false" outlineLevel="0" collapsed="false">
      <c r="A389" s="76"/>
      <c r="B389" s="81"/>
      <c r="C389" s="79"/>
      <c r="D389" s="79"/>
      <c r="E389" s="54"/>
      <c r="F389" s="148" t="n">
        <f aca="false">SUM(F387:F388)</f>
        <v>75322850</v>
      </c>
      <c r="G389" s="148" t="n">
        <f aca="false">SUM(G387:G388)</f>
        <v>71260850</v>
      </c>
    </row>
    <row r="390" customFormat="false" ht="15" hidden="false" customHeight="false" outlineLevel="0" collapsed="false">
      <c r="A390" s="76"/>
      <c r="F390" s="3"/>
      <c r="G390" s="3"/>
    </row>
    <row r="391" customFormat="false" ht="15" hidden="false" customHeight="false" outlineLevel="0" collapsed="false">
      <c r="A391" s="1" t="n">
        <f aca="false">A364+1</f>
        <v>15</v>
      </c>
      <c r="B391" s="189" t="s">
        <v>275</v>
      </c>
      <c r="C391" s="189"/>
      <c r="D391" s="3"/>
      <c r="E391" s="3"/>
      <c r="F391" s="64"/>
      <c r="G391" s="64"/>
    </row>
    <row r="392" customFormat="false" ht="15" hidden="false" customHeight="false" outlineLevel="0" collapsed="false">
      <c r="A392" s="76"/>
      <c r="B392" s="114" t="s">
        <v>276</v>
      </c>
      <c r="C392" s="114"/>
      <c r="D392" s="3"/>
      <c r="E392" s="3"/>
      <c r="F392" s="3"/>
      <c r="G392" s="3"/>
    </row>
    <row r="393" customFormat="false" ht="67.5" hidden="false" customHeight="false" outlineLevel="0" collapsed="false">
      <c r="A393" s="76"/>
      <c r="B393" s="207" t="s">
        <v>277</v>
      </c>
      <c r="C393" s="207" t="s">
        <v>278</v>
      </c>
      <c r="D393" s="207" t="s">
        <v>279</v>
      </c>
      <c r="E393" s="207" t="s">
        <v>280</v>
      </c>
      <c r="F393" s="207" t="s">
        <v>281</v>
      </c>
      <c r="G393" s="183" t="s">
        <v>179</v>
      </c>
    </row>
    <row r="394" customFormat="false" ht="15" hidden="false" customHeight="false" outlineLevel="0" collapsed="false">
      <c r="A394" s="76"/>
      <c r="B394" s="24" t="s">
        <v>282</v>
      </c>
      <c r="C394" s="208" t="n">
        <v>0</v>
      </c>
      <c r="D394" s="24" t="n">
        <v>0</v>
      </c>
      <c r="E394" s="3" t="n">
        <v>0</v>
      </c>
      <c r="F394" s="24" t="n">
        <v>0</v>
      </c>
      <c r="G394" s="24" t="n">
        <f aca="false">SUM(C394:F394)</f>
        <v>0</v>
      </c>
    </row>
    <row r="395" customFormat="false" ht="15" hidden="false" customHeight="false" outlineLevel="0" collapsed="false">
      <c r="A395" s="76"/>
      <c r="B395" s="209" t="s">
        <v>283</v>
      </c>
      <c r="C395" s="208" t="n">
        <v>0</v>
      </c>
      <c r="D395" s="24" t="n">
        <v>0</v>
      </c>
      <c r="E395" s="3" t="n">
        <v>0</v>
      </c>
      <c r="F395" s="24" t="n">
        <v>0</v>
      </c>
      <c r="G395" s="24" t="n">
        <f aca="false">SUM(C395:F395)</f>
        <v>0</v>
      </c>
    </row>
    <row r="396" customFormat="false" ht="15" hidden="false" customHeight="false" outlineLevel="0" collapsed="false">
      <c r="A396" s="76"/>
      <c r="B396" s="209" t="s">
        <v>284</v>
      </c>
      <c r="C396" s="208" t="n">
        <v>0</v>
      </c>
      <c r="D396" s="24" t="n">
        <v>0</v>
      </c>
      <c r="E396" s="3" t="n">
        <v>0</v>
      </c>
      <c r="F396" s="24" t="n">
        <v>0</v>
      </c>
      <c r="G396" s="24" t="n">
        <f aca="false">SUM(C396:F396)</f>
        <v>0</v>
      </c>
    </row>
    <row r="397" customFormat="false" ht="15" hidden="false" customHeight="false" outlineLevel="0" collapsed="false">
      <c r="A397" s="76"/>
      <c r="B397" s="209" t="s">
        <v>285</v>
      </c>
      <c r="C397" s="208" t="n">
        <v>0</v>
      </c>
      <c r="D397" s="24" t="n">
        <v>0</v>
      </c>
      <c r="E397" s="3" t="n">
        <v>0</v>
      </c>
      <c r="F397" s="24" t="n">
        <v>0</v>
      </c>
      <c r="G397" s="24" t="n">
        <f aca="false">SUM(C397:F397)</f>
        <v>0</v>
      </c>
    </row>
    <row r="398" customFormat="false" ht="15" hidden="false" customHeight="false" outlineLevel="0" collapsed="false">
      <c r="A398" s="76"/>
      <c r="B398" s="209" t="s">
        <v>286</v>
      </c>
      <c r="C398" s="208" t="n">
        <v>0</v>
      </c>
      <c r="D398" s="24" t="n">
        <v>0</v>
      </c>
      <c r="E398" s="3" t="n">
        <v>0</v>
      </c>
      <c r="F398" s="24" t="n">
        <v>0</v>
      </c>
      <c r="G398" s="24" t="n">
        <f aca="false">SUM(C398:F398)</f>
        <v>0</v>
      </c>
    </row>
    <row r="399" customFormat="false" ht="15" hidden="false" customHeight="false" outlineLevel="0" collapsed="false">
      <c r="A399" s="76"/>
      <c r="B399" s="209" t="s">
        <v>287</v>
      </c>
      <c r="C399" s="210" t="n">
        <v>0</v>
      </c>
      <c r="D399" s="24" t="n">
        <v>0</v>
      </c>
      <c r="E399" s="3" t="n">
        <v>0</v>
      </c>
      <c r="F399" s="24" t="n">
        <v>7947879</v>
      </c>
      <c r="G399" s="24" t="n">
        <f aca="false">SUM(C399:F399)</f>
        <v>7947879</v>
      </c>
    </row>
    <row r="400" customFormat="false" ht="15" hidden="false" customHeight="false" outlineLevel="0" collapsed="false">
      <c r="A400" s="76"/>
      <c r="B400" s="118" t="s">
        <v>179</v>
      </c>
      <c r="C400" s="152" t="n">
        <f aca="false">SUM(C394:C399)</f>
        <v>0</v>
      </c>
      <c r="D400" s="152" t="n">
        <f aca="false">SUM(D394:D399)</f>
        <v>0</v>
      </c>
      <c r="E400" s="152" t="n">
        <f aca="false">SUM(E394:E399)</f>
        <v>0</v>
      </c>
      <c r="F400" s="152" t="n">
        <f aca="false">SUM(F394:F399)</f>
        <v>7947879</v>
      </c>
      <c r="G400" s="22" t="n">
        <f aca="false">SUM(G394:G399)</f>
        <v>7947879</v>
      </c>
    </row>
    <row r="401" customFormat="false" ht="15" hidden="false" customHeight="false" outlineLevel="0" collapsed="false">
      <c r="A401" s="76"/>
      <c r="B401" s="152" t="s">
        <v>288</v>
      </c>
      <c r="C401" s="5"/>
      <c r="D401" s="5"/>
      <c r="E401" s="5"/>
      <c r="F401" s="5"/>
      <c r="G401" s="30" t="n">
        <v>0</v>
      </c>
    </row>
    <row r="402" customFormat="false" ht="15" hidden="false" customHeight="false" outlineLevel="0" collapsed="false">
      <c r="A402" s="76"/>
      <c r="B402" s="81" t="s">
        <v>289</v>
      </c>
      <c r="C402" s="79"/>
      <c r="D402" s="79"/>
      <c r="E402" s="79"/>
      <c r="F402" s="79"/>
      <c r="G402" s="41" t="n">
        <f aca="false">G400+G401</f>
        <v>7947879</v>
      </c>
    </row>
    <row r="403" customFormat="false" ht="15" hidden="false" customHeight="false" outlineLevel="0" collapsed="false">
      <c r="A403" s="76"/>
      <c r="D403" s="3"/>
      <c r="E403" s="3"/>
      <c r="F403" s="3"/>
    </row>
    <row r="404" customFormat="false" ht="15" hidden="false" customHeight="false" outlineLevel="0" collapsed="false">
      <c r="A404" s="76"/>
      <c r="B404" s="114" t="s">
        <v>290</v>
      </c>
      <c r="C404" s="211"/>
      <c r="D404" s="211"/>
      <c r="E404" s="211"/>
      <c r="F404" s="211"/>
      <c r="G404" s="211"/>
    </row>
    <row r="405" customFormat="false" ht="67.5" hidden="false" customHeight="false" outlineLevel="0" collapsed="false">
      <c r="A405" s="76"/>
      <c r="B405" s="212" t="s">
        <v>277</v>
      </c>
      <c r="C405" s="117" t="s">
        <v>278</v>
      </c>
      <c r="D405" s="134" t="s">
        <v>279</v>
      </c>
      <c r="E405" s="134" t="s">
        <v>280</v>
      </c>
      <c r="F405" s="134" t="s">
        <v>281</v>
      </c>
      <c r="G405" s="30" t="s">
        <v>179</v>
      </c>
    </row>
    <row r="406" customFormat="false" ht="15" hidden="false" customHeight="false" outlineLevel="0" collapsed="false">
      <c r="A406" s="76"/>
      <c r="B406" s="24" t="s">
        <v>282</v>
      </c>
      <c r="C406" s="208"/>
      <c r="D406" s="204" t="n">
        <v>0</v>
      </c>
      <c r="E406" s="24"/>
      <c r="F406" s="24"/>
      <c r="G406" s="37" t="n">
        <f aca="false">SUM(C406:F406)</f>
        <v>0</v>
      </c>
    </row>
    <row r="407" customFormat="false" ht="15" hidden="false" customHeight="false" outlineLevel="0" collapsed="false">
      <c r="A407" s="76"/>
      <c r="B407" s="209" t="s">
        <v>283</v>
      </c>
      <c r="C407" s="213" t="n">
        <v>54450</v>
      </c>
      <c r="D407" s="24" t="n">
        <v>0</v>
      </c>
      <c r="E407" s="24"/>
      <c r="F407" s="24" t="n">
        <v>0</v>
      </c>
      <c r="G407" s="37" t="n">
        <f aca="false">SUM(C407:F407)</f>
        <v>54450</v>
      </c>
    </row>
    <row r="408" customFormat="false" ht="15" hidden="false" customHeight="false" outlineLevel="0" collapsed="false">
      <c r="A408" s="76"/>
      <c r="B408" s="209" t="s">
        <v>284</v>
      </c>
      <c r="C408" s="213" t="n">
        <v>0</v>
      </c>
      <c r="D408" s="24" t="n">
        <v>0</v>
      </c>
      <c r="E408" s="24"/>
      <c r="F408" s="24" t="n">
        <v>0</v>
      </c>
      <c r="G408" s="37" t="n">
        <f aca="false">SUM(C408:F408)</f>
        <v>0</v>
      </c>
    </row>
    <row r="409" customFormat="false" ht="15" hidden="false" customHeight="false" outlineLevel="0" collapsed="false">
      <c r="A409" s="76"/>
      <c r="B409" s="209" t="s">
        <v>285</v>
      </c>
      <c r="C409" s="213" t="n">
        <v>0</v>
      </c>
      <c r="D409" s="24" t="n">
        <v>0</v>
      </c>
      <c r="E409" s="24"/>
      <c r="F409" s="24" t="n">
        <v>0</v>
      </c>
      <c r="G409" s="37" t="n">
        <f aca="false">SUM(C409:F409)</f>
        <v>0</v>
      </c>
    </row>
    <row r="410" customFormat="false" ht="15" hidden="false" customHeight="false" outlineLevel="0" collapsed="false">
      <c r="A410" s="76"/>
      <c r="B410" s="209" t="s">
        <v>286</v>
      </c>
      <c r="C410" s="213" t="n">
        <v>0</v>
      </c>
      <c r="D410" s="24" t="n">
        <v>0</v>
      </c>
      <c r="E410" s="24"/>
      <c r="F410" s="24" t="n">
        <v>0</v>
      </c>
      <c r="G410" s="37" t="n">
        <f aca="false">SUM(C410:F410)</f>
        <v>0</v>
      </c>
    </row>
    <row r="411" customFormat="false" ht="15" hidden="false" customHeight="false" outlineLevel="0" collapsed="false">
      <c r="A411" s="76"/>
      <c r="B411" s="209" t="s">
        <v>287</v>
      </c>
      <c r="C411" s="213" t="n">
        <v>0</v>
      </c>
      <c r="D411" s="24" t="n">
        <v>0</v>
      </c>
      <c r="E411" s="24"/>
      <c r="F411" s="24" t="n">
        <v>7947879</v>
      </c>
      <c r="G411" s="37" t="n">
        <f aca="false">SUM(C411:F411)</f>
        <v>7947879</v>
      </c>
    </row>
    <row r="412" customFormat="false" ht="15" hidden="false" customHeight="false" outlineLevel="0" collapsed="false">
      <c r="A412" s="76"/>
      <c r="B412" s="81" t="s">
        <v>179</v>
      </c>
      <c r="C412" s="108" t="n">
        <f aca="false">SUM(C406:C411)</f>
        <v>54450</v>
      </c>
      <c r="D412" s="108" t="n">
        <f aca="false">SUM(D406:D411)</f>
        <v>0</v>
      </c>
      <c r="E412" s="108" t="n">
        <f aca="false">SUM(E406:E411)</f>
        <v>0</v>
      </c>
      <c r="F412" s="108" t="n">
        <f aca="false">SUM(F406:F411)</f>
        <v>7947879</v>
      </c>
      <c r="G412" s="42" t="n">
        <f aca="false">SUM(G406:G411)</f>
        <v>8002329</v>
      </c>
    </row>
    <row r="413" customFormat="false" ht="15" hidden="false" customHeight="false" outlineLevel="0" collapsed="false">
      <c r="A413" s="76"/>
      <c r="D413" s="3"/>
      <c r="E413" s="3"/>
      <c r="F413" s="3"/>
      <c r="G413" s="3"/>
    </row>
    <row r="414" customFormat="false" ht="15" hidden="false" customHeight="false" outlineLevel="0" collapsed="false">
      <c r="E414" s="3"/>
    </row>
    <row r="415" customFormat="false" ht="15" hidden="false" customHeight="false" outlineLevel="0" collapsed="false">
      <c r="A415" s="1" t="n">
        <f aca="false">+A391+1</f>
        <v>16</v>
      </c>
      <c r="B415" s="102" t="s">
        <v>291</v>
      </c>
      <c r="C415" s="103"/>
      <c r="D415" s="5"/>
      <c r="E415" s="43"/>
      <c r="F415" s="12" t="str">
        <f aca="false">F364</f>
        <v>2024-25</v>
      </c>
      <c r="G415" s="12" t="str">
        <f aca="false">G364</f>
        <v>2023-24</v>
      </c>
    </row>
    <row r="416" customFormat="false" ht="15" hidden="false" customHeight="false" outlineLevel="0" collapsed="false">
      <c r="B416" s="149"/>
      <c r="C416" s="206"/>
      <c r="D416" s="79"/>
      <c r="E416" s="54"/>
      <c r="F416" s="194" t="str">
        <f aca="false">F365</f>
        <v>Rs.</v>
      </c>
      <c r="G416" s="194" t="str">
        <f aca="false">G365</f>
        <v>Rs.</v>
      </c>
    </row>
    <row r="417" customFormat="false" ht="15" hidden="false" customHeight="false" outlineLevel="0" collapsed="false">
      <c r="B417" s="40" t="s">
        <v>292</v>
      </c>
      <c r="C417" s="3"/>
      <c r="D417" s="3"/>
      <c r="E417" s="3"/>
      <c r="F417" s="22" t="n">
        <v>40777.38</v>
      </c>
      <c r="G417" s="22" t="n">
        <v>14379.66</v>
      </c>
    </row>
    <row r="418" customFormat="false" ht="15" hidden="false" customHeight="false" outlineLevel="0" collapsed="false">
      <c r="B418" s="40" t="s">
        <v>142</v>
      </c>
      <c r="C418" s="3"/>
      <c r="D418" s="3"/>
      <c r="E418" s="3"/>
      <c r="F418" s="40" t="n">
        <v>398024.5</v>
      </c>
      <c r="G418" s="40" t="n">
        <v>504780.5</v>
      </c>
    </row>
    <row r="419" customFormat="false" ht="15" hidden="false" customHeight="false" outlineLevel="0" collapsed="false">
      <c r="B419" s="81" t="s">
        <v>1</v>
      </c>
      <c r="C419" s="79"/>
      <c r="D419" s="79"/>
      <c r="E419" s="54"/>
      <c r="F419" s="214" t="n">
        <f aca="false">SUM(F417:F418)</f>
        <v>438801.88</v>
      </c>
      <c r="G419" s="214" t="n">
        <f aca="false">SUM(G417:G418)</f>
        <v>519160.16</v>
      </c>
    </row>
    <row r="420" customFormat="false" ht="15" hidden="false" customHeight="false" outlineLevel="0" collapsed="false">
      <c r="E420" s="3"/>
      <c r="F420" s="3"/>
      <c r="G420" s="3"/>
    </row>
    <row r="421" customFormat="false" ht="15" hidden="false" customHeight="false" outlineLevel="0" collapsed="false">
      <c r="A421" s="1" t="n">
        <f aca="false">+A415+1</f>
        <v>17</v>
      </c>
      <c r="B421" s="102" t="s">
        <v>293</v>
      </c>
      <c r="C421" s="103"/>
      <c r="D421" s="5"/>
      <c r="E421" s="43"/>
      <c r="F421" s="12" t="str">
        <f aca="false">F415</f>
        <v>2024-25</v>
      </c>
      <c r="G421" s="57" t="str">
        <f aca="false">G415</f>
        <v>2023-24</v>
      </c>
    </row>
    <row r="422" customFormat="false" ht="15" hidden="false" customHeight="false" outlineLevel="0" collapsed="false">
      <c r="B422" s="149"/>
      <c r="C422" s="206"/>
      <c r="D422" s="79"/>
      <c r="E422" s="54"/>
      <c r="F422" s="194" t="str">
        <f aca="false">F416</f>
        <v>Rs.</v>
      </c>
      <c r="G422" s="194" t="str">
        <f aca="false">G416</f>
        <v>Rs.</v>
      </c>
    </row>
    <row r="423" customFormat="false" ht="15" hidden="false" customHeight="false" outlineLevel="0" collapsed="false">
      <c r="B423" s="152" t="s">
        <v>294</v>
      </c>
      <c r="C423" s="3"/>
      <c r="D423" s="3"/>
      <c r="E423" s="3"/>
      <c r="F423" s="40"/>
      <c r="G423" s="24"/>
    </row>
    <row r="424" customFormat="false" ht="15" hidden="false" customHeight="false" outlineLevel="0" collapsed="false">
      <c r="B424" s="40"/>
      <c r="C424" s="3"/>
      <c r="D424" s="3"/>
      <c r="E424" s="3"/>
      <c r="F424" s="40"/>
      <c r="G424" s="24"/>
    </row>
    <row r="425" customFormat="false" ht="15" hidden="false" customHeight="false" outlineLevel="0" collapsed="false">
      <c r="B425" s="149"/>
      <c r="C425" s="206"/>
      <c r="D425" s="79"/>
      <c r="E425" s="54"/>
      <c r="F425" s="30" t="n">
        <f aca="false">SUM(F423)</f>
        <v>0</v>
      </c>
      <c r="G425" s="30" t="n">
        <f aca="false">SUM(G423)</f>
        <v>0</v>
      </c>
    </row>
    <row r="426" customFormat="false" ht="15" hidden="false" customHeight="false" outlineLevel="0" collapsed="false">
      <c r="B426" s="215" t="s">
        <v>295</v>
      </c>
      <c r="C426" s="189"/>
      <c r="D426" s="3"/>
      <c r="E426" s="37"/>
      <c r="F426" s="194"/>
      <c r="G426" s="216"/>
    </row>
    <row r="427" customFormat="false" ht="25.5" hidden="true" customHeight="true" outlineLevel="0" collapsed="false">
      <c r="B427" s="217" t="s">
        <v>296</v>
      </c>
      <c r="C427" s="217"/>
      <c r="D427" s="217"/>
      <c r="E427" s="217"/>
      <c r="F427" s="22" t="n">
        <v>0</v>
      </c>
      <c r="G427" s="43" t="n">
        <v>0</v>
      </c>
    </row>
    <row r="428" customFormat="false" ht="15" hidden="false" customHeight="false" outlineLevel="0" collapsed="false">
      <c r="B428" s="40" t="s">
        <v>297</v>
      </c>
      <c r="C428" s="3"/>
      <c r="D428" s="3"/>
      <c r="E428" s="37"/>
      <c r="F428" s="24"/>
      <c r="G428" s="24"/>
      <c r="IC428" s="24"/>
    </row>
    <row r="429" customFormat="false" ht="25.5" hidden="true" customHeight="true" outlineLevel="0" collapsed="false">
      <c r="B429" s="218" t="s">
        <v>298</v>
      </c>
      <c r="C429" s="218"/>
      <c r="D429" s="218"/>
      <c r="E429" s="218"/>
      <c r="F429" s="81" t="n">
        <v>0</v>
      </c>
      <c r="G429" s="41" t="n">
        <v>0</v>
      </c>
    </row>
    <row r="430" customFormat="false" ht="15" hidden="false" customHeight="false" outlineLevel="0" collapsed="false">
      <c r="B430" s="81"/>
      <c r="C430" s="79"/>
      <c r="D430" s="79"/>
      <c r="E430" s="54"/>
      <c r="F430" s="81"/>
      <c r="G430" s="41"/>
    </row>
    <row r="431" customFormat="false" ht="15" hidden="false" customHeight="false" outlineLevel="0" collapsed="false">
      <c r="B431" s="3"/>
      <c r="C431" s="3"/>
      <c r="D431" s="3"/>
      <c r="E431" s="3"/>
      <c r="F431" s="3"/>
      <c r="G431" s="3"/>
    </row>
    <row r="432" customFormat="false" ht="15" hidden="false" customHeight="false" outlineLevel="0" collapsed="false">
      <c r="A432" s="1" t="n">
        <f aca="false">A421+1</f>
        <v>18</v>
      </c>
      <c r="B432" s="219" t="s">
        <v>299</v>
      </c>
      <c r="C432" s="100"/>
      <c r="D432" s="5"/>
      <c r="E432" s="43"/>
      <c r="F432" s="12" t="str">
        <f aca="false">F421</f>
        <v>2024-25</v>
      </c>
      <c r="G432" s="12" t="str">
        <f aca="false">G421</f>
        <v>2023-24</v>
      </c>
    </row>
    <row r="433" customFormat="false" ht="15" hidden="false" customHeight="false" outlineLevel="0" collapsed="false">
      <c r="B433" s="81"/>
      <c r="C433" s="79"/>
      <c r="D433" s="79"/>
      <c r="E433" s="54"/>
      <c r="F433" s="194" t="str">
        <f aca="false">F422</f>
        <v>Rs.</v>
      </c>
      <c r="G433" s="194" t="str">
        <f aca="false">G422</f>
        <v>Rs.</v>
      </c>
    </row>
    <row r="434" customFormat="false" ht="15" hidden="false" customHeight="false" outlineLevel="0" collapsed="false">
      <c r="B434" s="40" t="s">
        <v>300</v>
      </c>
      <c r="C434" s="3"/>
      <c r="D434" s="3"/>
      <c r="E434" s="3"/>
      <c r="F434" s="24"/>
      <c r="G434" s="22"/>
    </row>
    <row r="435" customFormat="false" ht="15" hidden="false" customHeight="false" outlineLevel="0" collapsed="false">
      <c r="B435" s="40" t="s">
        <v>301</v>
      </c>
      <c r="C435" s="3"/>
      <c r="D435" s="3"/>
      <c r="E435" s="3"/>
      <c r="F435" s="24" t="n">
        <f aca="false">212131+4263.31</f>
        <v>216394.31</v>
      </c>
      <c r="G435" s="24" t="n">
        <v>281821</v>
      </c>
    </row>
    <row r="436" customFormat="false" ht="15" hidden="false" customHeight="false" outlineLevel="0" collapsed="false">
      <c r="B436" s="40" t="s">
        <v>302</v>
      </c>
      <c r="C436" s="3"/>
      <c r="D436" s="3"/>
      <c r="E436" s="3"/>
      <c r="F436" s="24" t="n">
        <v>81722</v>
      </c>
      <c r="G436" s="24" t="n">
        <v>47030</v>
      </c>
    </row>
    <row r="437" customFormat="false" ht="15" hidden="false" customHeight="false" outlineLevel="0" collapsed="false">
      <c r="B437" s="40" t="s">
        <v>303</v>
      </c>
      <c r="C437" s="3"/>
      <c r="D437" s="3"/>
      <c r="E437" s="3"/>
      <c r="F437" s="24" t="n">
        <v>350909</v>
      </c>
      <c r="G437" s="24" t="n">
        <v>208379</v>
      </c>
    </row>
    <row r="438" customFormat="false" ht="15" hidden="false" customHeight="false" outlineLevel="0" collapsed="false">
      <c r="B438" s="40" t="s">
        <v>304</v>
      </c>
      <c r="C438" s="3"/>
      <c r="D438" s="3"/>
      <c r="E438" s="3"/>
      <c r="F438" s="40" t="n">
        <v>0</v>
      </c>
      <c r="G438" s="40" t="n">
        <v>0</v>
      </c>
    </row>
    <row r="439" customFormat="false" ht="15" hidden="false" customHeight="false" outlineLevel="0" collapsed="false">
      <c r="B439" s="40" t="s">
        <v>305</v>
      </c>
      <c r="C439" s="3"/>
      <c r="D439" s="3"/>
      <c r="E439" s="3"/>
      <c r="F439" s="40" t="n">
        <v>15526</v>
      </c>
      <c r="G439" s="40" t="n">
        <v>15526</v>
      </c>
    </row>
    <row r="440" customFormat="false" ht="15" hidden="false" customHeight="false" outlineLevel="0" collapsed="false">
      <c r="B440" s="40" t="s">
        <v>306</v>
      </c>
      <c r="C440" s="3"/>
      <c r="D440" s="3"/>
      <c r="E440" s="3"/>
      <c r="F440" s="40" t="n">
        <v>0</v>
      </c>
      <c r="G440" s="40" t="n">
        <v>67973.72</v>
      </c>
    </row>
    <row r="441" customFormat="false" ht="15" hidden="false" customHeight="false" outlineLevel="0" collapsed="false">
      <c r="B441" s="40"/>
      <c r="C441" s="3"/>
      <c r="D441" s="3"/>
      <c r="E441" s="3"/>
      <c r="F441" s="40"/>
      <c r="G441" s="24"/>
    </row>
    <row r="442" customFormat="false" ht="15" hidden="false" customHeight="false" outlineLevel="0" collapsed="false">
      <c r="B442" s="40"/>
      <c r="C442" s="3"/>
      <c r="D442" s="3"/>
      <c r="E442" s="3"/>
      <c r="F442" s="148" t="n">
        <f aca="false">SUM(F435:F441)</f>
        <v>664551.31</v>
      </c>
      <c r="G442" s="148" t="n">
        <f aca="false">SUM(G435:G441)</f>
        <v>620729.72</v>
      </c>
    </row>
    <row r="443" customFormat="false" ht="15" hidden="false" customHeight="false" outlineLevel="0" collapsed="false">
      <c r="B443" s="40"/>
      <c r="C443" s="3"/>
      <c r="D443" s="156"/>
      <c r="E443" s="3"/>
      <c r="F443" s="148" t="n">
        <f aca="false">F442</f>
        <v>664551.31</v>
      </c>
      <c r="G443" s="148" t="n">
        <f aca="false">G442</f>
        <v>620729.72</v>
      </c>
    </row>
    <row r="444" customFormat="false" ht="15" hidden="false" customHeight="false" outlineLevel="0" collapsed="false">
      <c r="B444" s="40" t="s">
        <v>307</v>
      </c>
      <c r="C444" s="3"/>
      <c r="D444" s="156"/>
      <c r="E444" s="3"/>
      <c r="F444" s="22"/>
      <c r="G444" s="43"/>
    </row>
    <row r="445" customFormat="false" ht="15" hidden="false" customHeight="false" outlineLevel="0" collapsed="false">
      <c r="B445" s="40" t="s">
        <v>308</v>
      </c>
      <c r="C445" s="3"/>
      <c r="D445" s="64"/>
      <c r="E445" s="3"/>
      <c r="F445" s="24" t="n">
        <f aca="false">F443</f>
        <v>664551.31</v>
      </c>
      <c r="G445" s="24" t="n">
        <f aca="false">G443</f>
        <v>620729.72</v>
      </c>
    </row>
    <row r="446" customFormat="false" ht="15" hidden="false" customHeight="false" outlineLevel="0" collapsed="false">
      <c r="B446" s="81"/>
      <c r="C446" s="79"/>
      <c r="D446" s="79"/>
      <c r="E446" s="54"/>
      <c r="F446" s="108" t="n">
        <f aca="false">SUM(F445:F445)</f>
        <v>664551.31</v>
      </c>
      <c r="G446" s="108" t="n">
        <f aca="false">SUM(G445:G445)</f>
        <v>620729.72</v>
      </c>
    </row>
    <row r="447" customFormat="false" ht="15" hidden="false" customHeight="false" outlineLevel="0" collapsed="false">
      <c r="E447" s="3"/>
      <c r="F447" s="3"/>
      <c r="G447" s="3"/>
    </row>
    <row r="448" customFormat="false" ht="24.75" hidden="false" customHeight="true" outlineLevel="0" collapsed="false">
      <c r="A448" s="1" t="n">
        <f aca="false">+A432+1</f>
        <v>19</v>
      </c>
      <c r="B448" s="219" t="s">
        <v>309</v>
      </c>
      <c r="C448" s="100"/>
      <c r="D448" s="5"/>
      <c r="E448" s="43"/>
      <c r="F448" s="12" t="str">
        <f aca="false">F432</f>
        <v>2024-25</v>
      </c>
      <c r="G448" s="12" t="str">
        <f aca="false">G432</f>
        <v>2023-24</v>
      </c>
    </row>
    <row r="449" customFormat="false" ht="15" hidden="false" customHeight="false" outlineLevel="0" collapsed="false">
      <c r="B449" s="81"/>
      <c r="C449" s="79"/>
      <c r="D449" s="79"/>
      <c r="E449" s="54"/>
      <c r="F449" s="194" t="str">
        <f aca="false">F433</f>
        <v>Rs.</v>
      </c>
      <c r="G449" s="194" t="str">
        <f aca="false">G433</f>
        <v>Rs.</v>
      </c>
    </row>
    <row r="450" customFormat="false" ht="15" hidden="false" customHeight="false" outlineLevel="0" collapsed="false">
      <c r="B450" s="152"/>
      <c r="C450" s="5"/>
      <c r="D450" s="5"/>
      <c r="E450" s="43"/>
      <c r="F450" s="200"/>
      <c r="G450" s="22"/>
    </row>
    <row r="451" customFormat="false" ht="15" hidden="false" customHeight="false" outlineLevel="0" collapsed="false">
      <c r="B451" s="40" t="s">
        <v>310</v>
      </c>
      <c r="C451" s="3"/>
      <c r="D451" s="3"/>
      <c r="E451" s="37"/>
      <c r="F451" s="24"/>
      <c r="G451" s="24"/>
    </row>
    <row r="452" customFormat="false" ht="15" hidden="false" customHeight="false" outlineLevel="0" collapsed="false">
      <c r="B452" s="40" t="s">
        <v>311</v>
      </c>
      <c r="C452" s="3"/>
      <c r="D452" s="3"/>
      <c r="E452" s="37"/>
      <c r="F452" s="24" t="n">
        <v>0</v>
      </c>
      <c r="G452" s="24" t="n">
        <v>0</v>
      </c>
    </row>
    <row r="453" customFormat="false" ht="15" hidden="false" customHeight="false" outlineLevel="0" collapsed="false">
      <c r="B453" s="40" t="s">
        <v>312</v>
      </c>
      <c r="C453" s="3"/>
      <c r="D453" s="3"/>
      <c r="E453" s="37"/>
      <c r="F453" s="24" t="n">
        <v>0</v>
      </c>
      <c r="G453" s="24" t="n">
        <v>0</v>
      </c>
    </row>
    <row r="454" customFormat="false" ht="15" hidden="false" customHeight="false" outlineLevel="0" collapsed="false">
      <c r="B454" s="40" t="s">
        <v>313</v>
      </c>
      <c r="C454" s="3"/>
      <c r="D454" s="3"/>
      <c r="E454" s="37"/>
      <c r="F454" s="24" t="n">
        <f aca="false">39299394-237194</f>
        <v>39062200</v>
      </c>
      <c r="G454" s="24" t="n">
        <v>19617826.61</v>
      </c>
    </row>
    <row r="455" customFormat="false" ht="15" hidden="false" customHeight="false" outlineLevel="0" collapsed="false">
      <c r="B455" s="40" t="s">
        <v>314</v>
      </c>
      <c r="C455" s="3"/>
      <c r="D455" s="3"/>
      <c r="E455" s="37"/>
      <c r="F455" s="24" t="n">
        <v>0</v>
      </c>
      <c r="G455" s="24" t="n">
        <v>0</v>
      </c>
    </row>
    <row r="456" customFormat="false" ht="15" hidden="false" customHeight="false" outlineLevel="0" collapsed="false">
      <c r="B456" s="40" t="s">
        <v>315</v>
      </c>
      <c r="C456" s="3"/>
      <c r="D456" s="3"/>
      <c r="E456" s="37"/>
      <c r="F456" s="24" t="n">
        <v>0</v>
      </c>
      <c r="G456" s="24" t="n">
        <v>0</v>
      </c>
    </row>
    <row r="457" customFormat="false" ht="15" hidden="false" customHeight="false" outlineLevel="0" collapsed="false">
      <c r="B457" s="81"/>
      <c r="C457" s="79"/>
      <c r="D457" s="79"/>
      <c r="E457" s="54"/>
      <c r="F457" s="148" t="n">
        <f aca="false">SUM(F450:F456)</f>
        <v>39062200</v>
      </c>
      <c r="G457" s="148" t="n">
        <f aca="false">SUM(G450:G456)</f>
        <v>19617826.61</v>
      </c>
    </row>
    <row r="458" customFormat="false" ht="15" hidden="false" customHeight="false" outlineLevel="0" collapsed="false">
      <c r="F458" s="3"/>
    </row>
    <row r="459" customFormat="false" ht="15" hidden="false" customHeight="false" outlineLevel="0" collapsed="false">
      <c r="B459" s="220" t="s">
        <v>316</v>
      </c>
      <c r="C459" s="221"/>
      <c r="D459" s="5"/>
      <c r="E459" s="5"/>
      <c r="F459" s="152"/>
      <c r="G459" s="222"/>
    </row>
    <row r="460" customFormat="false" ht="15" hidden="false" customHeight="false" outlineLevel="0" collapsed="false">
      <c r="B460" s="153" t="s">
        <v>317</v>
      </c>
      <c r="C460" s="36"/>
      <c r="D460" s="3"/>
      <c r="E460" s="3"/>
      <c r="F460" s="40" t="n">
        <v>0</v>
      </c>
      <c r="G460" s="223" t="n">
        <v>0</v>
      </c>
    </row>
    <row r="461" customFormat="false" ht="15" hidden="false" customHeight="false" outlineLevel="0" collapsed="false">
      <c r="B461" s="40"/>
      <c r="C461" s="3"/>
      <c r="D461" s="3"/>
      <c r="E461" s="3"/>
      <c r="F461" s="24"/>
      <c r="G461" s="41"/>
      <c r="I461" s="3" t="n">
        <f aca="false">+F457-F474</f>
        <v>0</v>
      </c>
    </row>
    <row r="462" customFormat="false" ht="15" hidden="false" customHeight="false" outlineLevel="0" collapsed="false">
      <c r="B462" s="224"/>
      <c r="C462" s="95"/>
      <c r="D462" s="3"/>
      <c r="E462" s="3"/>
      <c r="F462" s="148" t="n">
        <f aca="false">SUM(F459:F461)</f>
        <v>0</v>
      </c>
      <c r="G462" s="148" t="n">
        <f aca="false">SUM(G459:G461)</f>
        <v>0</v>
      </c>
    </row>
    <row r="463" customFormat="false" ht="15" hidden="false" customHeight="false" outlineLevel="0" collapsed="false">
      <c r="B463" s="153" t="s">
        <v>318</v>
      </c>
      <c r="C463" s="36"/>
      <c r="D463" s="3"/>
      <c r="E463" s="3"/>
      <c r="F463" s="40" t="n">
        <f aca="false">+F454</f>
        <v>39062200</v>
      </c>
      <c r="G463" s="22" t="n">
        <f aca="false">+G454</f>
        <v>19617826.61</v>
      </c>
    </row>
    <row r="464" customFormat="false" ht="15" hidden="false" customHeight="false" outlineLevel="0" collapsed="false">
      <c r="B464" s="40"/>
      <c r="C464" s="3"/>
      <c r="D464" s="3"/>
      <c r="E464" s="3"/>
      <c r="F464" s="148" t="n">
        <f aca="false">SUM(F463:F463)</f>
        <v>39062200</v>
      </c>
      <c r="G464" s="148" t="n">
        <f aca="false">SUM(G463:G463)</f>
        <v>19617826.61</v>
      </c>
    </row>
    <row r="465" customFormat="false" ht="15" hidden="false" customHeight="false" outlineLevel="0" collapsed="false">
      <c r="B465" s="153" t="s">
        <v>319</v>
      </c>
      <c r="C465" s="36"/>
      <c r="D465" s="3"/>
      <c r="E465" s="3"/>
      <c r="F465" s="152"/>
      <c r="G465" s="24"/>
    </row>
    <row r="466" customFormat="false" ht="15" hidden="false" customHeight="false" outlineLevel="0" collapsed="false">
      <c r="B466" s="153" t="s">
        <v>320</v>
      </c>
      <c r="C466" s="36"/>
      <c r="D466" s="3"/>
      <c r="E466" s="3"/>
      <c r="F466" s="40" t="n">
        <f aca="false">+F455</f>
        <v>0</v>
      </c>
      <c r="G466" s="24" t="n">
        <f aca="false">+G455</f>
        <v>0</v>
      </c>
    </row>
    <row r="467" customFormat="false" ht="15" hidden="false" customHeight="false" outlineLevel="0" collapsed="false">
      <c r="B467" s="40" t="s">
        <v>321</v>
      </c>
      <c r="C467" s="3"/>
      <c r="D467" s="3"/>
      <c r="E467" s="3"/>
      <c r="F467" s="81"/>
      <c r="G467" s="41"/>
    </row>
    <row r="468" customFormat="false" ht="15" hidden="false" customHeight="false" outlineLevel="0" collapsed="false">
      <c r="B468" s="224"/>
      <c r="C468" s="95"/>
      <c r="D468" s="3"/>
      <c r="E468" s="3"/>
      <c r="F468" s="148" t="n">
        <f aca="false">SUM(F466:F467)</f>
        <v>0</v>
      </c>
      <c r="G468" s="148" t="n">
        <f aca="false">SUM(G466:G467)</f>
        <v>0</v>
      </c>
    </row>
    <row r="469" customFormat="false" ht="15" hidden="false" customHeight="false" outlineLevel="0" collapsed="false">
      <c r="B469" s="153" t="s">
        <v>322</v>
      </c>
      <c r="C469" s="36"/>
      <c r="D469" s="3"/>
      <c r="E469" s="3"/>
      <c r="F469" s="148"/>
      <c r="G469" s="148"/>
    </row>
    <row r="470" customFormat="false" ht="15" hidden="false" customHeight="false" outlineLevel="0" collapsed="false">
      <c r="B470" s="40"/>
      <c r="C470" s="3"/>
      <c r="D470" s="3"/>
      <c r="E470" s="3"/>
      <c r="F470" s="22"/>
      <c r="G470" s="24" t="n">
        <v>0</v>
      </c>
    </row>
    <row r="471" customFormat="false" ht="15" hidden="false" customHeight="false" outlineLevel="0" collapsed="false">
      <c r="B471" s="40"/>
      <c r="C471" s="3"/>
      <c r="D471" s="3"/>
      <c r="E471" s="3"/>
      <c r="F471" s="24"/>
      <c r="G471" s="24"/>
    </row>
    <row r="472" customFormat="false" ht="15" hidden="false" customHeight="false" outlineLevel="0" collapsed="false">
      <c r="B472" s="40"/>
      <c r="C472" s="3"/>
      <c r="D472" s="3"/>
      <c r="E472" s="37"/>
      <c r="F472" s="148" t="n">
        <f aca="false">SUM(F470:F471)</f>
        <v>0</v>
      </c>
      <c r="G472" s="148" t="n">
        <f aca="false">SUM(G470:G471)</f>
        <v>0</v>
      </c>
    </row>
    <row r="473" customFormat="false" ht="15" hidden="false" customHeight="false" outlineLevel="0" collapsed="false">
      <c r="B473" s="40"/>
      <c r="C473" s="3"/>
      <c r="D473" s="3"/>
      <c r="E473" s="3"/>
      <c r="F473" s="63"/>
      <c r="G473" s="89"/>
    </row>
    <row r="474" customFormat="false" ht="15" hidden="false" customHeight="false" outlineLevel="0" collapsed="false">
      <c r="B474" s="108" t="s">
        <v>179</v>
      </c>
      <c r="C474" s="87"/>
      <c r="D474" s="87"/>
      <c r="E474" s="42"/>
      <c r="F474" s="148" t="n">
        <f aca="false">+F472+F468+F464+F462</f>
        <v>39062200</v>
      </c>
      <c r="G474" s="148" t="n">
        <f aca="false">+G472+G468+G464+G462</f>
        <v>19617826.61</v>
      </c>
      <c r="H474" s="3" t="n">
        <f aca="false">+G474-G457</f>
        <v>0</v>
      </c>
    </row>
    <row r="476" customFormat="false" ht="15" hidden="false" customHeight="false" outlineLevel="0" collapsed="false">
      <c r="A476" s="1" t="n">
        <v>20</v>
      </c>
      <c r="B476" s="219" t="s">
        <v>323</v>
      </c>
      <c r="C476" s="100"/>
      <c r="D476" s="5"/>
      <c r="E476" s="5"/>
      <c r="F476" s="12" t="str">
        <f aca="false">F448</f>
        <v>2024-25</v>
      </c>
      <c r="G476" s="12" t="str">
        <f aca="false">G448</f>
        <v>2023-24</v>
      </c>
    </row>
    <row r="477" customFormat="false" ht="15" hidden="false" customHeight="false" outlineLevel="0" collapsed="false">
      <c r="B477" s="40"/>
      <c r="C477" s="3"/>
      <c r="D477" s="3"/>
      <c r="E477" s="3"/>
      <c r="F477" s="194" t="str">
        <f aca="false">F449</f>
        <v>Rs.</v>
      </c>
      <c r="G477" s="194" t="str">
        <f aca="false">G449</f>
        <v>Rs.</v>
      </c>
    </row>
    <row r="478" customFormat="false" ht="16.5" hidden="false" customHeight="false" outlineLevel="0" collapsed="false">
      <c r="B478" s="225" t="s">
        <v>324</v>
      </c>
      <c r="C478" s="226"/>
      <c r="D478" s="3"/>
      <c r="E478" s="3"/>
      <c r="F478" s="24"/>
      <c r="G478" s="128"/>
    </row>
    <row r="479" customFormat="false" ht="15" hidden="false" customHeight="false" outlineLevel="0" collapsed="false">
      <c r="B479" s="40" t="s">
        <v>325</v>
      </c>
      <c r="C479" s="3"/>
      <c r="D479" s="3"/>
      <c r="E479" s="3"/>
      <c r="F479" s="24" t="n">
        <v>0</v>
      </c>
      <c r="G479" s="24" t="n">
        <v>3079</v>
      </c>
    </row>
    <row r="480" customFormat="false" ht="15" hidden="false" customHeight="false" outlineLevel="0" collapsed="false">
      <c r="B480" s="40"/>
      <c r="C480" s="3"/>
      <c r="D480" s="3"/>
      <c r="E480" s="3"/>
      <c r="F480" s="227"/>
      <c r="G480" s="37"/>
    </row>
    <row r="481" customFormat="false" ht="15" hidden="false" customHeight="false" outlineLevel="0" collapsed="false">
      <c r="B481" s="81"/>
      <c r="C481" s="79"/>
      <c r="D481" s="79"/>
      <c r="E481" s="79"/>
      <c r="F481" s="148" t="n">
        <f aca="false">SUM(F478:F479)</f>
        <v>0</v>
      </c>
      <c r="G481" s="147" t="n">
        <f aca="false">SUM(G478:G479)</f>
        <v>3079</v>
      </c>
    </row>
    <row r="483" customFormat="false" ht="15" hidden="false" customHeight="false" outlineLevel="0" collapsed="false">
      <c r="A483" s="1" t="n">
        <v>21</v>
      </c>
      <c r="B483" s="219" t="s">
        <v>326</v>
      </c>
      <c r="C483" s="100"/>
      <c r="D483" s="5"/>
      <c r="E483" s="43"/>
      <c r="F483" s="12" t="str">
        <f aca="false">F476</f>
        <v>2024-25</v>
      </c>
      <c r="G483" s="12" t="str">
        <f aca="false">G476</f>
        <v>2023-24</v>
      </c>
    </row>
    <row r="484" customFormat="false" ht="15.6" hidden="false" customHeight="true" outlineLevel="0" collapsed="false">
      <c r="B484" s="81"/>
      <c r="C484" s="79"/>
      <c r="D484" s="79"/>
      <c r="E484" s="54"/>
      <c r="F484" s="194" t="str">
        <f aca="false">F477</f>
        <v>Rs.</v>
      </c>
      <c r="G484" s="194" t="str">
        <f aca="false">G477</f>
        <v>Rs.</v>
      </c>
    </row>
    <row r="485" customFormat="false" ht="15" hidden="false" customHeight="false" outlineLevel="0" collapsed="false">
      <c r="B485" s="219" t="s">
        <v>327</v>
      </c>
      <c r="C485" s="100"/>
      <c r="D485" s="5"/>
      <c r="E485" s="43"/>
      <c r="F485" s="152"/>
      <c r="G485" s="22"/>
    </row>
    <row r="486" customFormat="false" ht="15" hidden="false" customHeight="false" outlineLevel="0" collapsed="false">
      <c r="B486" s="40" t="s">
        <v>328</v>
      </c>
      <c r="C486" s="3"/>
      <c r="D486" s="3"/>
      <c r="E486" s="37"/>
      <c r="F486" s="40" t="n">
        <f aca="false">+G493</f>
        <v>0</v>
      </c>
      <c r="G486" s="40" t="n">
        <f aca="false">+H493</f>
        <v>0</v>
      </c>
    </row>
    <row r="487" customFormat="false" ht="15" hidden="false" customHeight="false" outlineLevel="0" collapsed="false">
      <c r="B487" s="40" t="s">
        <v>329</v>
      </c>
      <c r="C487" s="3"/>
      <c r="D487" s="3"/>
      <c r="E487" s="37"/>
      <c r="F487" s="40" t="n">
        <v>0</v>
      </c>
      <c r="G487" s="40" t="n">
        <v>0</v>
      </c>
    </row>
    <row r="488" customFormat="false" ht="15" hidden="false" customHeight="false" outlineLevel="0" collapsed="false">
      <c r="B488" s="40" t="s">
        <v>330</v>
      </c>
      <c r="C488" s="3"/>
      <c r="D488" s="3"/>
      <c r="E488" s="37"/>
      <c r="F488" s="40" t="n">
        <v>0</v>
      </c>
      <c r="G488" s="40" t="n">
        <v>0</v>
      </c>
    </row>
    <row r="489" customFormat="false" ht="15" hidden="false" customHeight="false" outlineLevel="0" collapsed="false">
      <c r="B489" s="40" t="s">
        <v>331</v>
      </c>
      <c r="C489" s="3"/>
      <c r="D489" s="3"/>
      <c r="E489" s="37"/>
      <c r="F489" s="40" t="n">
        <v>0</v>
      </c>
      <c r="G489" s="40" t="n">
        <v>0</v>
      </c>
    </row>
    <row r="490" customFormat="false" ht="15" hidden="false" customHeight="false" outlineLevel="0" collapsed="false">
      <c r="B490" s="40" t="s">
        <v>332</v>
      </c>
      <c r="C490" s="3"/>
      <c r="D490" s="3"/>
      <c r="E490" s="37"/>
      <c r="F490" s="98" t="n">
        <v>0</v>
      </c>
      <c r="G490" s="98" t="n">
        <v>0</v>
      </c>
    </row>
    <row r="491" customFormat="false" ht="15" hidden="false" customHeight="false" outlineLevel="0" collapsed="false">
      <c r="B491" s="40" t="s">
        <v>333</v>
      </c>
      <c r="C491" s="3"/>
      <c r="D491" s="3"/>
      <c r="E491" s="37"/>
      <c r="F491" s="98" t="n">
        <v>0</v>
      </c>
      <c r="G491" s="98" t="n">
        <v>0</v>
      </c>
    </row>
    <row r="492" customFormat="false" ht="15" hidden="false" customHeight="false" outlineLevel="0" collapsed="false">
      <c r="B492" s="40"/>
      <c r="C492" s="3"/>
      <c r="D492" s="3"/>
      <c r="E492" s="37"/>
      <c r="F492" s="22" t="n">
        <f aca="false">SUM(F485:F491)</f>
        <v>0</v>
      </c>
      <c r="G492" s="22" t="n">
        <f aca="false">SUM(G485:G491)</f>
        <v>0</v>
      </c>
    </row>
    <row r="493" customFormat="false" ht="15" hidden="false" customHeight="false" outlineLevel="0" collapsed="false">
      <c r="B493" s="40" t="s">
        <v>334</v>
      </c>
      <c r="C493" s="3"/>
      <c r="D493" s="64"/>
      <c r="E493" s="37"/>
      <c r="F493" s="81" t="n">
        <f aca="false">F368</f>
        <v>0</v>
      </c>
      <c r="G493" s="81" t="n">
        <f aca="false">G368</f>
        <v>0</v>
      </c>
    </row>
    <row r="494" customFormat="false" ht="15" hidden="false" customHeight="false" outlineLevel="0" collapsed="false">
      <c r="A494" s="191"/>
      <c r="B494" s="3" t="s">
        <v>335</v>
      </c>
      <c r="C494" s="3"/>
      <c r="D494" s="228"/>
      <c r="E494" s="37"/>
      <c r="F494" s="147" t="n">
        <f aca="false">+F492-F493</f>
        <v>0</v>
      </c>
      <c r="G494" s="148" t="n">
        <f aca="false">+G492-G493</f>
        <v>0</v>
      </c>
    </row>
    <row r="495" customFormat="false" ht="15" hidden="false" customHeight="false" outlineLevel="0" collapsed="false">
      <c r="B495" s="63" t="s">
        <v>336</v>
      </c>
      <c r="C495" s="48"/>
      <c r="D495" s="3"/>
      <c r="E495" s="37"/>
      <c r="F495" s="152"/>
      <c r="G495" s="22"/>
    </row>
    <row r="496" customFormat="false" ht="15" hidden="false" customHeight="false" outlineLevel="0" collapsed="false">
      <c r="B496" s="40" t="s">
        <v>328</v>
      </c>
      <c r="C496" s="3"/>
      <c r="D496" s="3"/>
      <c r="E496" s="37"/>
      <c r="F496" s="40" t="n">
        <v>0</v>
      </c>
      <c r="G496" s="204" t="n">
        <v>0</v>
      </c>
    </row>
    <row r="497" customFormat="false" ht="15" hidden="false" customHeight="false" outlineLevel="0" collapsed="false">
      <c r="B497" s="40" t="s">
        <v>337</v>
      </c>
      <c r="C497" s="3"/>
      <c r="D497" s="3"/>
      <c r="E497" s="37"/>
      <c r="F497" s="40" t="n">
        <v>0</v>
      </c>
      <c r="G497" s="204" t="n">
        <v>0</v>
      </c>
    </row>
    <row r="498" customFormat="false" ht="15" hidden="false" customHeight="false" outlineLevel="0" collapsed="false">
      <c r="B498" s="40" t="s">
        <v>330</v>
      </c>
      <c r="C498" s="3"/>
      <c r="D498" s="3"/>
      <c r="E498" s="37"/>
      <c r="F498" s="40" t="n">
        <v>0</v>
      </c>
      <c r="G498" s="24" t="n">
        <v>0</v>
      </c>
    </row>
    <row r="499" customFormat="false" ht="15" hidden="false" customHeight="false" outlineLevel="0" collapsed="false">
      <c r="B499" s="40"/>
      <c r="C499" s="3"/>
      <c r="D499" s="3"/>
      <c r="E499" s="37"/>
      <c r="F499" s="22" t="n">
        <f aca="false">SUM(F495:F498)</f>
        <v>0</v>
      </c>
      <c r="G499" s="22" t="n">
        <f aca="false">SUM(G495:G498)</f>
        <v>0</v>
      </c>
    </row>
    <row r="500" customFormat="false" ht="15" hidden="false" customHeight="false" outlineLevel="0" collapsed="false">
      <c r="B500" s="40" t="s">
        <v>334</v>
      </c>
      <c r="C500" s="3"/>
      <c r="D500" s="64"/>
      <c r="E500" s="37"/>
      <c r="F500" s="229" t="n">
        <f aca="false">F371+F372</f>
        <v>0</v>
      </c>
      <c r="G500" s="229" t="n">
        <f aca="false">G371+G372</f>
        <v>0</v>
      </c>
    </row>
    <row r="501" customFormat="false" ht="15" hidden="false" customHeight="false" outlineLevel="0" collapsed="false">
      <c r="B501" s="40" t="s">
        <v>335</v>
      </c>
      <c r="C501" s="3"/>
      <c r="D501" s="228"/>
      <c r="E501" s="37"/>
      <c r="F501" s="159" t="n">
        <f aca="false">+F499-F500</f>
        <v>0</v>
      </c>
      <c r="G501" s="159" t="n">
        <f aca="false">+G499-G500</f>
        <v>0</v>
      </c>
    </row>
    <row r="502" customFormat="false" ht="15" hidden="false" customHeight="false" outlineLevel="0" collapsed="false">
      <c r="B502" s="230"/>
      <c r="C502" s="231" t="s">
        <v>338</v>
      </c>
      <c r="D502" s="232"/>
      <c r="E502" s="231"/>
      <c r="F502" s="148" t="n">
        <f aca="false">+F494+F501</f>
        <v>0</v>
      </c>
      <c r="G502" s="148" t="n">
        <f aca="false">+G494+G501</f>
        <v>0</v>
      </c>
      <c r="I502" s="6"/>
      <c r="J502" s="6"/>
    </row>
    <row r="503" customFormat="false" ht="15" hidden="false" customHeight="false" outlineLevel="0" collapsed="false">
      <c r="B503" s="190" t="s">
        <v>339</v>
      </c>
      <c r="C503" s="190"/>
      <c r="G503" s="233"/>
    </row>
    <row r="504" customFormat="false" ht="15" hidden="false" customHeight="false" outlineLevel="0" collapsed="false">
      <c r="B504" s="234" t="s">
        <v>340</v>
      </c>
      <c r="C504" s="39"/>
      <c r="D504" s="3"/>
      <c r="E504" s="37"/>
      <c r="F504" s="30" t="n">
        <f aca="false">+F487+F497</f>
        <v>0</v>
      </c>
      <c r="G504" s="30" t="n">
        <f aca="false">+G487+G497</f>
        <v>0</v>
      </c>
    </row>
    <row r="505" customFormat="false" ht="15" hidden="false" customHeight="false" outlineLevel="0" collapsed="false">
      <c r="B505" s="235"/>
      <c r="C505" s="235"/>
      <c r="D505" s="235"/>
      <c r="E505" s="3"/>
      <c r="F505" s="3"/>
      <c r="G505" s="3"/>
    </row>
    <row r="506" customFormat="false" ht="15" hidden="false" customHeight="false" outlineLevel="0" collapsed="false">
      <c r="A506" s="1" t="n">
        <v>22</v>
      </c>
      <c r="B506" s="219" t="s">
        <v>341</v>
      </c>
      <c r="C506" s="100"/>
      <c r="D506" s="5"/>
      <c r="E506" s="43"/>
      <c r="F506" s="12" t="str">
        <f aca="false">F483</f>
        <v>2024-25</v>
      </c>
      <c r="G506" s="12" t="str">
        <f aca="false">G483</f>
        <v>2023-24</v>
      </c>
    </row>
    <row r="507" customFormat="false" ht="15" hidden="false" customHeight="false" outlineLevel="0" collapsed="false">
      <c r="B507" s="110"/>
      <c r="C507" s="53"/>
      <c r="D507" s="79"/>
      <c r="E507" s="54"/>
      <c r="F507" s="194" t="str">
        <f aca="false">F484</f>
        <v>Rs.</v>
      </c>
      <c r="G507" s="194" t="str">
        <f aca="false">G484</f>
        <v>Rs.</v>
      </c>
    </row>
    <row r="508" customFormat="false" ht="14.25" hidden="false" customHeight="true" outlineLevel="0" collapsed="false">
      <c r="B508" s="236" t="s">
        <v>342</v>
      </c>
      <c r="C508" s="237"/>
      <c r="D508" s="5"/>
      <c r="E508" s="5"/>
      <c r="F508" s="22" t="n">
        <f aca="false">36438268.33-4308-287432</f>
        <v>36146528.33</v>
      </c>
      <c r="G508" s="22" t="n">
        <v>18822738.31</v>
      </c>
    </row>
    <row r="509" customFormat="false" ht="14.25" hidden="false" customHeight="true" outlineLevel="0" collapsed="false">
      <c r="B509" s="234" t="s">
        <v>343</v>
      </c>
      <c r="C509" s="39"/>
      <c r="D509" s="3"/>
      <c r="E509" s="3"/>
      <c r="F509" s="24" t="n">
        <v>0</v>
      </c>
      <c r="G509" s="66"/>
    </row>
    <row r="510" customFormat="false" ht="5.25" hidden="false" customHeight="true" outlineLevel="0" collapsed="false">
      <c r="B510" s="234"/>
      <c r="C510" s="39"/>
      <c r="D510" s="3"/>
      <c r="E510" s="3"/>
      <c r="F510" s="24"/>
      <c r="G510" s="41"/>
    </row>
    <row r="511" customFormat="false" ht="15" hidden="false" customHeight="false" outlineLevel="0" collapsed="false">
      <c r="B511" s="238"/>
      <c r="C511" s="239"/>
      <c r="D511" s="79"/>
      <c r="E511" s="79"/>
      <c r="F511" s="30" t="n">
        <f aca="false">+F508-F509</f>
        <v>36146528.33</v>
      </c>
      <c r="G511" s="42" t="n">
        <f aca="false">+G508-G509</f>
        <v>18822738.31</v>
      </c>
    </row>
    <row r="512" customFormat="false" ht="15" hidden="false" customHeight="false" outlineLevel="0" collapsed="false">
      <c r="A512" s="105"/>
      <c r="B512" s="235"/>
      <c r="C512" s="235"/>
      <c r="E512" s="3"/>
      <c r="F512" s="3"/>
      <c r="G512" s="3"/>
    </row>
    <row r="513" customFormat="false" ht="15" hidden="false" customHeight="false" outlineLevel="0" collapsed="false">
      <c r="A513" s="1" t="n">
        <v>23</v>
      </c>
      <c r="B513" s="219" t="s">
        <v>344</v>
      </c>
      <c r="C513" s="100"/>
      <c r="D513" s="5"/>
      <c r="E513" s="43"/>
      <c r="F513" s="12" t="str">
        <f aca="false">F506</f>
        <v>2024-25</v>
      </c>
      <c r="G513" s="12" t="str">
        <f aca="false">G506</f>
        <v>2023-24</v>
      </c>
    </row>
    <row r="514" customFormat="false" ht="15" hidden="false" customHeight="false" outlineLevel="0" collapsed="false">
      <c r="B514" s="110" t="s">
        <v>345</v>
      </c>
      <c r="C514" s="53"/>
      <c r="D514" s="79"/>
      <c r="E514" s="54"/>
      <c r="F514" s="194" t="str">
        <f aca="false">F507</f>
        <v>Rs.</v>
      </c>
      <c r="G514" s="194" t="str">
        <f aca="false">G507</f>
        <v>Rs.</v>
      </c>
    </row>
    <row r="515" customFormat="false" ht="15" hidden="false" customHeight="false" outlineLevel="0" collapsed="false">
      <c r="B515" s="152"/>
      <c r="C515" s="5"/>
      <c r="D515" s="5"/>
      <c r="E515" s="43"/>
      <c r="F515" s="43"/>
      <c r="G515" s="22"/>
    </row>
    <row r="516" customFormat="false" ht="15" hidden="false" customHeight="false" outlineLevel="0" collapsed="false">
      <c r="B516" s="215" t="s">
        <v>346</v>
      </c>
      <c r="C516" s="189"/>
      <c r="D516" s="3"/>
      <c r="E516" s="3"/>
      <c r="F516" s="24"/>
      <c r="G516" s="24"/>
    </row>
    <row r="517" customFormat="false" ht="15" hidden="false" customHeight="false" outlineLevel="0" collapsed="false">
      <c r="B517" s="40" t="s">
        <v>347</v>
      </c>
      <c r="C517" s="3"/>
      <c r="D517" s="3"/>
      <c r="E517" s="3"/>
      <c r="F517" s="24" t="n">
        <f aca="false">F369</f>
        <v>0</v>
      </c>
      <c r="G517" s="204" t="n">
        <f aca="false">+G369</f>
        <v>0</v>
      </c>
    </row>
    <row r="518" customFormat="false" ht="15" hidden="false" customHeight="false" outlineLevel="0" collapsed="false">
      <c r="B518" s="40" t="s">
        <v>348</v>
      </c>
      <c r="C518" s="3"/>
      <c r="D518" s="3"/>
      <c r="E518" s="37"/>
      <c r="F518" s="24" t="n">
        <f aca="false">+F370</f>
        <v>75322850</v>
      </c>
      <c r="G518" s="24" t="n">
        <f aca="false">+G370</f>
        <v>71260850</v>
      </c>
    </row>
    <row r="519" customFormat="false" ht="15" hidden="false" customHeight="false" outlineLevel="0" collapsed="false">
      <c r="B519" s="40" t="s">
        <v>349</v>
      </c>
      <c r="C519" s="3"/>
      <c r="D519" s="3"/>
      <c r="E519" s="37"/>
      <c r="F519" s="240" t="n">
        <f aca="false">+F371</f>
        <v>0</v>
      </c>
      <c r="G519" s="240" t="n">
        <f aca="false">+G371</f>
        <v>0</v>
      </c>
    </row>
    <row r="520" customFormat="false" ht="15" hidden="false" customHeight="false" outlineLevel="0" collapsed="false">
      <c r="B520" s="40" t="s">
        <v>350</v>
      </c>
      <c r="C520" s="3"/>
      <c r="D520" s="3"/>
      <c r="E520" s="37"/>
      <c r="F520" s="37" t="n">
        <f aca="false">+F373</f>
        <v>0</v>
      </c>
      <c r="G520" s="37" t="n">
        <f aca="false">+G373</f>
        <v>0</v>
      </c>
    </row>
    <row r="521" customFormat="false" ht="15" hidden="false" customHeight="false" outlineLevel="0" collapsed="false">
      <c r="B521" s="108"/>
      <c r="C521" s="87"/>
      <c r="D521" s="87"/>
      <c r="E521" s="147" t="s">
        <v>351</v>
      </c>
      <c r="F521" s="147" t="n">
        <f aca="false">SUM(F517:F520)</f>
        <v>75322850</v>
      </c>
      <c r="G521" s="148" t="n">
        <f aca="false">SUM(G517:G520)</f>
        <v>71260850</v>
      </c>
    </row>
    <row r="522" customFormat="false" ht="15" hidden="false" customHeight="false" outlineLevel="0" collapsed="false">
      <c r="B522" s="40"/>
      <c r="C522" s="3"/>
      <c r="D522" s="3"/>
      <c r="E522" s="37"/>
      <c r="F522" s="37"/>
      <c r="G522" s="22"/>
    </row>
    <row r="523" customFormat="false" ht="15" hidden="false" customHeight="false" outlineLevel="0" collapsed="false">
      <c r="B523" s="215" t="s">
        <v>352</v>
      </c>
      <c r="C523" s="189"/>
      <c r="D523" s="3"/>
      <c r="E523" s="3"/>
      <c r="F523" s="24"/>
      <c r="G523" s="24"/>
    </row>
    <row r="524" customFormat="false" ht="15" hidden="false" customHeight="false" outlineLevel="0" collapsed="false">
      <c r="B524" s="40" t="s">
        <v>347</v>
      </c>
      <c r="C524" s="3"/>
      <c r="D524" s="3"/>
      <c r="E524" s="3"/>
      <c r="F524" s="24" t="n">
        <f aca="false">+G517</f>
        <v>0</v>
      </c>
      <c r="G524" s="204" t="n">
        <v>0</v>
      </c>
    </row>
    <row r="525" customFormat="false" ht="15" hidden="false" customHeight="false" outlineLevel="0" collapsed="false">
      <c r="B525" s="40" t="s">
        <v>353</v>
      </c>
      <c r="C525" s="3"/>
      <c r="D525" s="3"/>
      <c r="E525" s="37"/>
      <c r="F525" s="37" t="n">
        <v>0</v>
      </c>
      <c r="G525" s="241" t="n">
        <v>0</v>
      </c>
    </row>
    <row r="526" customFormat="false" ht="15" hidden="false" customHeight="false" outlineLevel="0" collapsed="false">
      <c r="B526" s="40" t="s">
        <v>348</v>
      </c>
      <c r="C526" s="3"/>
      <c r="D526" s="3"/>
      <c r="E526" s="37"/>
      <c r="F526" s="37" t="n">
        <f aca="false">+G518</f>
        <v>71260850</v>
      </c>
      <c r="G526" s="37" t="n">
        <v>66380400</v>
      </c>
    </row>
    <row r="527" customFormat="false" ht="15" hidden="false" customHeight="false" outlineLevel="0" collapsed="false">
      <c r="B527" s="40" t="s">
        <v>350</v>
      </c>
      <c r="C527" s="3"/>
      <c r="D527" s="3"/>
      <c r="E527" s="37"/>
      <c r="F527" s="37" t="n">
        <f aca="false">+G520</f>
        <v>0</v>
      </c>
      <c r="G527" s="37" t="n">
        <v>0</v>
      </c>
    </row>
    <row r="528" customFormat="false" ht="15" hidden="false" customHeight="false" outlineLevel="0" collapsed="false">
      <c r="B528" s="108"/>
      <c r="C528" s="87"/>
      <c r="D528" s="87" t="s">
        <v>1</v>
      </c>
      <c r="E528" s="42" t="s">
        <v>354</v>
      </c>
      <c r="F528" s="42" t="n">
        <f aca="false">SUM(F523:F527)</f>
        <v>71260850</v>
      </c>
      <c r="G528" s="42" t="n">
        <f aca="false">SUM(G523:G527)</f>
        <v>66380400</v>
      </c>
    </row>
    <row r="529" customFormat="false" ht="15" hidden="false" customHeight="false" outlineLevel="0" collapsed="false">
      <c r="B529" s="40"/>
      <c r="C529" s="3"/>
      <c r="D529" s="3"/>
      <c r="E529" s="37"/>
      <c r="F529" s="37"/>
      <c r="G529" s="24"/>
    </row>
    <row r="530" customFormat="false" ht="15" hidden="false" customHeight="false" outlineLevel="0" collapsed="false">
      <c r="A530" s="242"/>
      <c r="B530" s="112" t="s">
        <v>355</v>
      </c>
      <c r="C530" s="146"/>
      <c r="D530" s="146"/>
      <c r="E530" s="147" t="s">
        <v>356</v>
      </c>
      <c r="F530" s="92" t="n">
        <f aca="false">+F528-F521</f>
        <v>-4062000</v>
      </c>
      <c r="G530" s="92" t="n">
        <f aca="false">+G528-G521</f>
        <v>-4880450</v>
      </c>
    </row>
    <row r="531" customFormat="false" ht="15" hidden="false" customHeight="false" outlineLevel="0" collapsed="false">
      <c r="E531" s="3"/>
      <c r="F531" s="3"/>
      <c r="G531" s="3"/>
    </row>
    <row r="532" customFormat="false" ht="15" hidden="false" customHeight="false" outlineLevel="0" collapsed="false">
      <c r="A532" s="1" t="n">
        <f aca="false">+A513+1</f>
        <v>24</v>
      </c>
      <c r="B532" s="219" t="s">
        <v>357</v>
      </c>
      <c r="C532" s="100"/>
      <c r="D532" s="5"/>
      <c r="E532" s="43"/>
      <c r="F532" s="12" t="str">
        <f aca="false">F513</f>
        <v>2024-25</v>
      </c>
      <c r="G532" s="12" t="str">
        <f aca="false">G513</f>
        <v>2023-24</v>
      </c>
    </row>
    <row r="533" customFormat="false" ht="15" hidden="false" customHeight="false" outlineLevel="0" collapsed="false">
      <c r="B533" s="110"/>
      <c r="C533" s="53"/>
      <c r="D533" s="79"/>
      <c r="E533" s="54"/>
      <c r="F533" s="194" t="str">
        <f aca="false">F514</f>
        <v>Rs.</v>
      </c>
      <c r="G533" s="194" t="str">
        <f aca="false">G514</f>
        <v>Rs.</v>
      </c>
    </row>
    <row r="534" customFormat="false" ht="15" hidden="false" customHeight="false" outlineLevel="0" collapsed="false">
      <c r="B534" s="243" t="s">
        <v>358</v>
      </c>
      <c r="C534" s="244"/>
      <c r="D534" s="5"/>
      <c r="E534" s="43"/>
      <c r="F534" s="22" t="n">
        <v>966190</v>
      </c>
      <c r="G534" s="22" t="n">
        <v>895349</v>
      </c>
    </row>
    <row r="535" customFormat="false" ht="15" hidden="false" customHeight="false" outlineLevel="0" collapsed="false">
      <c r="B535" s="168" t="s">
        <v>359</v>
      </c>
      <c r="C535" s="169"/>
      <c r="D535" s="3"/>
      <c r="E535" s="37"/>
      <c r="F535" s="204" t="n">
        <v>660000</v>
      </c>
      <c r="G535" s="204" t="n">
        <v>660000</v>
      </c>
    </row>
    <row r="536" customFormat="false" ht="15" hidden="false" customHeight="false" outlineLevel="0" collapsed="false">
      <c r="A536" s="191"/>
      <c r="B536" s="245"/>
      <c r="C536" s="245"/>
      <c r="D536" s="3"/>
      <c r="E536" s="37"/>
      <c r="F536" s="24"/>
      <c r="G536" s="24"/>
    </row>
    <row r="537" customFormat="false" ht="15" hidden="false" customHeight="false" outlineLevel="0" collapsed="false">
      <c r="B537" s="81"/>
      <c r="C537" s="79"/>
      <c r="D537" s="79"/>
      <c r="E537" s="246"/>
      <c r="F537" s="148" t="n">
        <f aca="false">SUM(F534:F535)</f>
        <v>1626190</v>
      </c>
      <c r="G537" s="148" t="n">
        <f aca="false">SUM(G534:G535)</f>
        <v>1555349</v>
      </c>
    </row>
    <row r="538" customFormat="false" ht="15.75" hidden="false" customHeight="true" outlineLevel="0" collapsed="false">
      <c r="E538" s="211"/>
      <c r="F538" s="79"/>
      <c r="G538" s="79"/>
    </row>
    <row r="539" customFormat="false" ht="15" hidden="false" customHeight="false" outlineLevel="0" collapsed="false">
      <c r="A539" s="1" t="n">
        <f aca="false">+A532+1</f>
        <v>25</v>
      </c>
      <c r="B539" s="219" t="s">
        <v>360</v>
      </c>
      <c r="C539" s="100"/>
      <c r="D539" s="5"/>
      <c r="E539" s="247"/>
      <c r="F539" s="12" t="str">
        <f aca="false">F548</f>
        <v>2024-25</v>
      </c>
      <c r="G539" s="12" t="str">
        <f aca="false">G548</f>
        <v>2023-24</v>
      </c>
    </row>
    <row r="540" customFormat="false" ht="15" hidden="false" customHeight="false" outlineLevel="0" collapsed="false">
      <c r="B540" s="81"/>
      <c r="C540" s="79"/>
      <c r="D540" s="79"/>
      <c r="E540" s="246"/>
      <c r="F540" s="194" t="str">
        <f aca="false">F533</f>
        <v>Rs.</v>
      </c>
      <c r="G540" s="194" t="str">
        <f aca="false">G533</f>
        <v>Rs.</v>
      </c>
    </row>
    <row r="541" customFormat="false" ht="15" hidden="false" customHeight="false" outlineLevel="0" collapsed="false">
      <c r="B541" s="236" t="s">
        <v>361</v>
      </c>
      <c r="C541" s="237"/>
      <c r="D541" s="244"/>
      <c r="E541" s="247"/>
      <c r="F541" s="24"/>
      <c r="G541" s="22"/>
    </row>
    <row r="542" customFormat="false" ht="15" hidden="false" customHeight="false" outlineLevel="0" collapsed="false">
      <c r="B542" s="234"/>
      <c r="C542" s="39" t="s">
        <v>362</v>
      </c>
      <c r="D542" s="169"/>
      <c r="E542" s="248"/>
      <c r="F542" s="24" t="n">
        <v>3509097</v>
      </c>
      <c r="G542" s="24" t="n">
        <v>2084149.55</v>
      </c>
    </row>
    <row r="543" customFormat="false" ht="15" hidden="false" customHeight="false" outlineLevel="0" collapsed="false">
      <c r="B543" s="234"/>
      <c r="C543" s="39" t="s">
        <v>363</v>
      </c>
      <c r="D543" s="169"/>
      <c r="E543" s="248"/>
      <c r="F543" s="24" t="n">
        <f aca="false">4420+43126</f>
        <v>47546</v>
      </c>
      <c r="G543" s="24" t="n">
        <v>14263</v>
      </c>
    </row>
    <row r="544" customFormat="false" ht="15" hidden="false" customHeight="false" outlineLevel="0" collapsed="false">
      <c r="B544" s="234"/>
      <c r="C544" s="39" t="s">
        <v>364</v>
      </c>
      <c r="D544" s="169"/>
      <c r="E544" s="248"/>
      <c r="F544" s="24" t="n">
        <v>0</v>
      </c>
      <c r="G544" s="24" t="n">
        <v>0</v>
      </c>
    </row>
    <row r="545" customFormat="false" ht="15" hidden="false" customHeight="false" outlineLevel="0" collapsed="false">
      <c r="B545" s="40"/>
      <c r="C545" s="3"/>
      <c r="D545" s="3"/>
      <c r="E545" s="37"/>
      <c r="F545" s="66"/>
      <c r="G545" s="66"/>
    </row>
    <row r="546" customFormat="false" ht="15" hidden="false" customHeight="false" outlineLevel="0" collapsed="false">
      <c r="B546" s="81"/>
      <c r="C546" s="79"/>
      <c r="D546" s="79"/>
      <c r="E546" s="54"/>
      <c r="F546" s="148" t="n">
        <f aca="false">SUM(F541:F545)</f>
        <v>3556643</v>
      </c>
      <c r="G546" s="148" t="n">
        <f aca="false">SUM(G541:G545)</f>
        <v>2098412.55</v>
      </c>
    </row>
    <row r="547" customFormat="false" ht="15" hidden="false" customHeight="false" outlineLevel="0" collapsed="false">
      <c r="E547" s="3"/>
      <c r="F547" s="79"/>
      <c r="G547" s="79"/>
    </row>
    <row r="548" customFormat="false" ht="15" hidden="false" customHeight="false" outlineLevel="0" collapsed="false">
      <c r="A548" s="1" t="n">
        <f aca="false">+A539+1</f>
        <v>26</v>
      </c>
      <c r="B548" s="219" t="s">
        <v>365</v>
      </c>
      <c r="C548" s="100"/>
      <c r="D548" s="5"/>
      <c r="E548" s="43"/>
      <c r="F548" s="12" t="str">
        <f aca="false">F476</f>
        <v>2024-25</v>
      </c>
      <c r="G548" s="12" t="str">
        <f aca="false">G476</f>
        <v>2023-24</v>
      </c>
    </row>
    <row r="549" customFormat="false" ht="15" hidden="false" customHeight="false" outlineLevel="0" collapsed="false">
      <c r="B549" s="81"/>
      <c r="C549" s="79"/>
      <c r="D549" s="79"/>
      <c r="E549" s="54"/>
      <c r="F549" s="194" t="str">
        <f aca="false">F540</f>
        <v>Rs.</v>
      </c>
      <c r="G549" s="194" t="str">
        <f aca="false">G540</f>
        <v>Rs.</v>
      </c>
    </row>
    <row r="550" customFormat="false" ht="15" hidden="false" customHeight="false" outlineLevel="0" collapsed="false">
      <c r="B550" s="152" t="s">
        <v>366</v>
      </c>
      <c r="C550" s="5"/>
      <c r="D550" s="5"/>
      <c r="E550" s="43"/>
      <c r="F550" s="24" t="n">
        <f aca="false">+'Dep. SCH'!I26</f>
        <v>80163.58</v>
      </c>
      <c r="G550" s="91" t="n">
        <f aca="false">'Dep. SCH'!I27</f>
        <v>75518</v>
      </c>
    </row>
    <row r="551" customFormat="false" ht="15" hidden="false" customHeight="false" outlineLevel="0" collapsed="false">
      <c r="B551" s="40" t="s">
        <v>367</v>
      </c>
      <c r="C551" s="3"/>
      <c r="D551" s="3"/>
      <c r="E551" s="37"/>
      <c r="F551" s="24" t="n">
        <v>0</v>
      </c>
      <c r="G551" s="91" t="n">
        <v>0</v>
      </c>
    </row>
    <row r="552" customFormat="false" ht="15" hidden="false" customHeight="false" outlineLevel="0" collapsed="false">
      <c r="B552" s="81"/>
      <c r="C552" s="79"/>
      <c r="D552" s="79"/>
      <c r="E552" s="54"/>
      <c r="F552" s="148" t="n">
        <f aca="false">F550+F551</f>
        <v>80163.58</v>
      </c>
      <c r="G552" s="148" t="n">
        <f aca="false">G550+G551</f>
        <v>75518</v>
      </c>
    </row>
    <row r="553" customFormat="false" ht="6.75" hidden="false" customHeight="true" outlineLevel="0" collapsed="false">
      <c r="F553" s="3"/>
      <c r="G553" s="155"/>
    </row>
    <row r="554" customFormat="false" ht="15" hidden="false" customHeight="false" outlineLevel="0" collapsed="false">
      <c r="A554" s="1" t="n">
        <f aca="false">+A548+1</f>
        <v>27</v>
      </c>
      <c r="B554" s="219" t="s">
        <v>368</v>
      </c>
      <c r="C554" s="100"/>
      <c r="D554" s="5"/>
      <c r="E554" s="43"/>
      <c r="F554" s="12" t="str">
        <f aca="false">F548</f>
        <v>2024-25</v>
      </c>
      <c r="G554" s="12" t="str">
        <f aca="false">G548</f>
        <v>2023-24</v>
      </c>
    </row>
    <row r="555" customFormat="false" ht="15" hidden="false" customHeight="false" outlineLevel="0" collapsed="false">
      <c r="B555" s="81"/>
      <c r="C555" s="79"/>
      <c r="D555" s="79"/>
      <c r="E555" s="54"/>
      <c r="F555" s="194" t="str">
        <f aca="false">F549</f>
        <v>Rs.</v>
      </c>
      <c r="G555" s="194" t="str">
        <f aca="false">G549</f>
        <v>Rs.</v>
      </c>
    </row>
    <row r="556" customFormat="false" ht="15" hidden="false" customHeight="false" outlineLevel="0" collapsed="false">
      <c r="B556" s="40"/>
      <c r="C556" s="3"/>
      <c r="D556" s="3"/>
      <c r="E556" s="37"/>
      <c r="F556" s="249"/>
      <c r="G556" s="249"/>
    </row>
    <row r="557" customFormat="false" ht="15" hidden="false" customHeight="false" outlineLevel="0" collapsed="false">
      <c r="B557" s="40" t="s">
        <v>369</v>
      </c>
      <c r="C557" s="3"/>
      <c r="D557" s="3"/>
      <c r="E557" s="37"/>
      <c r="F557" s="249"/>
      <c r="G557" s="249"/>
    </row>
    <row r="558" customFormat="false" ht="15" hidden="false" customHeight="false" outlineLevel="0" collapsed="false">
      <c r="B558" s="40"/>
      <c r="C558" s="3"/>
      <c r="D558" s="3"/>
      <c r="E558" s="37"/>
      <c r="F558" s="249"/>
      <c r="G558" s="249"/>
    </row>
    <row r="559" customFormat="false" ht="15" hidden="false" customHeight="false" outlineLevel="0" collapsed="false">
      <c r="B559" s="40" t="s">
        <v>370</v>
      </c>
      <c r="C559" s="3"/>
      <c r="D559" s="3"/>
      <c r="E559" s="37"/>
      <c r="F559" s="24" t="n">
        <v>63800</v>
      </c>
      <c r="G559" s="24" t="n">
        <v>52850</v>
      </c>
    </row>
    <row r="560" customFormat="false" ht="15" hidden="false" customHeight="false" outlineLevel="0" collapsed="false">
      <c r="B560" s="40" t="s">
        <v>371</v>
      </c>
      <c r="C560" s="3"/>
      <c r="D560" s="3"/>
      <c r="E560" s="37"/>
      <c r="F560" s="24" t="n">
        <v>64261.01</v>
      </c>
      <c r="G560" s="24" t="n">
        <v>140899.42</v>
      </c>
    </row>
    <row r="561" customFormat="false" ht="16.5" hidden="false" customHeight="false" outlineLevel="0" collapsed="false">
      <c r="B561" s="40" t="s">
        <v>372</v>
      </c>
      <c r="C561" s="250"/>
      <c r="D561" s="3"/>
      <c r="E561" s="37"/>
      <c r="F561" s="91" t="n">
        <v>0</v>
      </c>
      <c r="G561" s="91" t="n">
        <v>57976</v>
      </c>
    </row>
    <row r="562" customFormat="false" ht="15" hidden="false" customHeight="false" outlineLevel="0" collapsed="false">
      <c r="B562" s="40" t="s">
        <v>373</v>
      </c>
      <c r="C562" s="3"/>
      <c r="D562" s="3"/>
      <c r="E562" s="37"/>
      <c r="F562" s="91" t="n">
        <v>40887</v>
      </c>
      <c r="G562" s="91" t="n">
        <v>37781.1</v>
      </c>
    </row>
    <row r="563" customFormat="false" ht="15" hidden="false" customHeight="false" outlineLevel="0" collapsed="false">
      <c r="B563" s="40" t="s">
        <v>374</v>
      </c>
      <c r="C563" s="3"/>
      <c r="D563" s="3"/>
      <c r="E563" s="37"/>
      <c r="F563" s="91" t="n">
        <v>92190</v>
      </c>
      <c r="G563" s="91" t="n">
        <v>58415</v>
      </c>
      <c r="I563" s="3" t="n">
        <v>1199295</v>
      </c>
      <c r="J563" s="3" t="n">
        <f aca="false">+F563-I563</f>
        <v>-1107105</v>
      </c>
    </row>
    <row r="564" customFormat="false" ht="15" hidden="false" customHeight="false" outlineLevel="0" collapsed="false">
      <c r="B564" s="40" t="s">
        <v>375</v>
      </c>
      <c r="C564" s="3"/>
      <c r="D564" s="3"/>
      <c r="E564" s="37"/>
      <c r="F564" s="91" t="n">
        <v>0</v>
      </c>
      <c r="G564" s="91" t="n">
        <v>0</v>
      </c>
    </row>
    <row r="565" customFormat="false" ht="15" hidden="false" customHeight="false" outlineLevel="0" collapsed="false">
      <c r="B565" s="40" t="s">
        <v>376</v>
      </c>
      <c r="C565" s="3"/>
      <c r="D565" s="3"/>
      <c r="E565" s="37"/>
      <c r="F565" s="91" t="n">
        <v>0</v>
      </c>
      <c r="G565" s="91" t="n">
        <v>0</v>
      </c>
    </row>
    <row r="566" customFormat="false" ht="15" hidden="false" customHeight="false" outlineLevel="0" collapsed="false">
      <c r="B566" s="40" t="s">
        <v>377</v>
      </c>
      <c r="C566" s="3"/>
      <c r="D566" s="3"/>
      <c r="E566" s="37"/>
      <c r="F566" s="91" t="n">
        <v>0</v>
      </c>
      <c r="G566" s="91" t="n">
        <v>0</v>
      </c>
    </row>
    <row r="567" customFormat="false" ht="15" hidden="false" customHeight="false" outlineLevel="0" collapsed="false">
      <c r="B567" s="40" t="s">
        <v>378</v>
      </c>
      <c r="C567" s="3"/>
      <c r="D567" s="3"/>
      <c r="E567" s="37"/>
      <c r="F567" s="91" t="n">
        <f aca="false">96074+48630</f>
        <v>144704</v>
      </c>
      <c r="G567" s="91" t="n">
        <v>263943</v>
      </c>
    </row>
    <row r="568" customFormat="false" ht="15" hidden="false" customHeight="false" outlineLevel="0" collapsed="false">
      <c r="B568" s="40" t="s">
        <v>379</v>
      </c>
      <c r="C568" s="3"/>
      <c r="D568" s="3"/>
      <c r="E568" s="37"/>
      <c r="F568" s="91" t="n">
        <f aca="false">130303+105553</f>
        <v>235856</v>
      </c>
      <c r="G568" s="91" t="n">
        <v>51000</v>
      </c>
    </row>
    <row r="569" customFormat="false" ht="15" hidden="false" customHeight="false" outlineLevel="0" collapsed="false">
      <c r="B569" s="40" t="s">
        <v>380</v>
      </c>
      <c r="C569" s="3"/>
      <c r="D569" s="3"/>
      <c r="E569" s="37"/>
      <c r="F569" s="91" t="n">
        <v>35000</v>
      </c>
      <c r="G569" s="91" t="n">
        <v>106750.26</v>
      </c>
    </row>
    <row r="570" customFormat="false" ht="15" hidden="false" customHeight="false" outlineLevel="0" collapsed="false">
      <c r="B570" s="40" t="s">
        <v>381</v>
      </c>
      <c r="C570" s="3"/>
      <c r="D570" s="3"/>
      <c r="E570" s="37"/>
      <c r="F570" s="91" t="n">
        <v>0</v>
      </c>
      <c r="G570" s="91" t="n">
        <v>2288.14</v>
      </c>
    </row>
    <row r="571" customFormat="false" ht="15" hidden="false" customHeight="false" outlineLevel="0" collapsed="false">
      <c r="B571" s="40" t="s">
        <v>382</v>
      </c>
      <c r="C571" s="3"/>
      <c r="D571" s="3"/>
      <c r="E571" s="37"/>
      <c r="F571" s="91" t="n">
        <v>0</v>
      </c>
      <c r="G571" s="91" t="n">
        <v>2040</v>
      </c>
    </row>
    <row r="572" customFormat="false" ht="15" hidden="false" customHeight="false" outlineLevel="0" collapsed="false">
      <c r="B572" s="40" t="s">
        <v>383</v>
      </c>
      <c r="C572" s="3"/>
      <c r="D572" s="3"/>
      <c r="E572" s="37"/>
      <c r="F572" s="91" t="n">
        <v>21960</v>
      </c>
      <c r="G572" s="91" t="n">
        <v>108006.26</v>
      </c>
    </row>
    <row r="573" customFormat="false" ht="15" hidden="false" customHeight="false" outlineLevel="0" collapsed="false">
      <c r="B573" s="40" t="s">
        <v>384</v>
      </c>
      <c r="C573" s="3"/>
      <c r="D573" s="3"/>
      <c r="E573" s="37"/>
      <c r="F573" s="91" t="n">
        <v>120000</v>
      </c>
      <c r="G573" s="91" t="n">
        <v>120000</v>
      </c>
    </row>
    <row r="574" customFormat="false" ht="15" hidden="false" customHeight="false" outlineLevel="0" collapsed="false">
      <c r="B574" s="40" t="s">
        <v>385</v>
      </c>
      <c r="C574" s="3"/>
      <c r="D574" s="3"/>
      <c r="E574" s="37"/>
      <c r="F574" s="24" t="n">
        <v>57600</v>
      </c>
      <c r="G574" s="24" t="n">
        <v>89476</v>
      </c>
    </row>
    <row r="575" customFormat="false" ht="15" hidden="false" customHeight="false" outlineLevel="0" collapsed="false">
      <c r="B575" s="40" t="s">
        <v>386</v>
      </c>
      <c r="C575" s="3"/>
      <c r="D575" s="3"/>
      <c r="E575" s="37"/>
      <c r="F575" s="91" t="n">
        <v>40000</v>
      </c>
      <c r="G575" s="91" t="n">
        <v>26700</v>
      </c>
    </row>
    <row r="576" customFormat="false" ht="15" hidden="false" customHeight="false" outlineLevel="0" collapsed="false">
      <c r="B576" s="40" t="s">
        <v>387</v>
      </c>
      <c r="C576" s="3"/>
      <c r="D576" s="3"/>
      <c r="E576" s="37"/>
      <c r="F576" s="91" t="n">
        <f aca="false">149387.04+1592</f>
        <v>150979.04</v>
      </c>
      <c r="G576" s="91" t="n">
        <v>201928.34</v>
      </c>
    </row>
    <row r="577" customFormat="false" ht="15" hidden="false" customHeight="false" outlineLevel="0" collapsed="false">
      <c r="B577" s="40" t="s">
        <v>388</v>
      </c>
      <c r="C577" s="3"/>
      <c r="D577" s="3"/>
      <c r="E577" s="37"/>
      <c r="F577" s="91" t="n">
        <v>0</v>
      </c>
      <c r="G577" s="91" t="n">
        <v>6120</v>
      </c>
    </row>
    <row r="578" customFormat="false" ht="15" hidden="false" customHeight="false" outlineLevel="0" collapsed="false">
      <c r="B578" s="40" t="s">
        <v>389</v>
      </c>
      <c r="C578" s="3"/>
      <c r="D578" s="3"/>
      <c r="E578" s="37"/>
      <c r="F578" s="91" t="n">
        <v>0</v>
      </c>
      <c r="G578" s="91" t="n">
        <v>0</v>
      </c>
    </row>
    <row r="579" customFormat="false" ht="15" hidden="false" customHeight="false" outlineLevel="0" collapsed="false">
      <c r="B579" s="40" t="s">
        <v>390</v>
      </c>
      <c r="C579" s="3"/>
      <c r="D579" s="3"/>
      <c r="E579" s="37"/>
      <c r="F579" s="91" t="n">
        <f aca="false">18000+200565.73</f>
        <v>218565.73</v>
      </c>
      <c r="G579" s="91" t="n">
        <v>48109.77</v>
      </c>
    </row>
    <row r="580" customFormat="false" ht="15" hidden="false" customHeight="false" outlineLevel="0" collapsed="false">
      <c r="B580" s="40" t="s">
        <v>391</v>
      </c>
      <c r="C580" s="3"/>
      <c r="D580" s="3"/>
      <c r="E580" s="37"/>
      <c r="F580" s="91" t="n">
        <v>130671</v>
      </c>
      <c r="G580" s="91" t="n">
        <v>153990</v>
      </c>
    </row>
    <row r="581" customFormat="false" ht="15" hidden="false" customHeight="false" outlineLevel="0" collapsed="false">
      <c r="B581" s="40" t="s">
        <v>392</v>
      </c>
      <c r="C581" s="3"/>
      <c r="D581" s="3"/>
      <c r="E581" s="37"/>
      <c r="F581" s="91" t="n">
        <v>31050</v>
      </c>
      <c r="G581" s="155" t="n">
        <v>0</v>
      </c>
    </row>
    <row r="582" customFormat="false" ht="15" hidden="false" customHeight="false" outlineLevel="0" collapsed="false">
      <c r="B582" s="40" t="s">
        <v>393</v>
      </c>
      <c r="C582" s="3"/>
      <c r="D582" s="3"/>
      <c r="E582" s="37"/>
      <c r="F582" s="91" t="n">
        <v>30266</v>
      </c>
      <c r="G582" s="251" t="n">
        <v>39575</v>
      </c>
    </row>
    <row r="583" customFormat="false" ht="15" hidden="false" customHeight="false" outlineLevel="0" collapsed="false">
      <c r="B583" s="40" t="s">
        <v>394</v>
      </c>
      <c r="C583" s="3"/>
      <c r="D583" s="3"/>
      <c r="E583" s="37"/>
      <c r="F583" s="252" t="n">
        <f aca="false">2984+1423.74</f>
        <v>4407.74</v>
      </c>
      <c r="G583" s="252" t="n">
        <v>4690</v>
      </c>
    </row>
    <row r="584" customFormat="false" ht="15" hidden="false" customHeight="false" outlineLevel="0" collapsed="false">
      <c r="B584" s="40" t="s">
        <v>395</v>
      </c>
      <c r="C584" s="3"/>
      <c r="D584" s="3"/>
      <c r="E584" s="37"/>
      <c r="F584" s="252" t="n">
        <v>2.06</v>
      </c>
      <c r="G584" s="252" t="n">
        <v>1.59</v>
      </c>
    </row>
    <row r="585" customFormat="false" ht="15" hidden="false" customHeight="false" outlineLevel="0" collapsed="false">
      <c r="B585" s="40" t="s">
        <v>396</v>
      </c>
      <c r="C585" s="3"/>
      <c r="D585" s="3"/>
      <c r="E585" s="37"/>
      <c r="F585" s="252" t="n">
        <v>0</v>
      </c>
      <c r="G585" s="252" t="n">
        <v>0</v>
      </c>
    </row>
    <row r="586" customFormat="false" ht="15" hidden="false" customHeight="false" outlineLevel="0" collapsed="false">
      <c r="B586" s="40" t="s">
        <v>397</v>
      </c>
      <c r="C586" s="3"/>
      <c r="D586" s="3"/>
      <c r="E586" s="37"/>
      <c r="F586" s="91" t="n">
        <v>0</v>
      </c>
      <c r="G586" s="91" t="n">
        <v>4900</v>
      </c>
    </row>
    <row r="587" customFormat="false" ht="15" hidden="false" customHeight="false" outlineLevel="0" collapsed="false">
      <c r="B587" s="40"/>
      <c r="C587" s="3"/>
      <c r="D587" s="3"/>
      <c r="E587" s="37"/>
      <c r="F587" s="91"/>
      <c r="G587" s="91"/>
    </row>
    <row r="588" customFormat="false" ht="16.5" hidden="false" customHeight="false" outlineLevel="0" collapsed="false">
      <c r="B588" s="225" t="s">
        <v>398</v>
      </c>
      <c r="C588" s="250"/>
      <c r="D588" s="3"/>
      <c r="E588" s="37"/>
      <c r="F588" s="91"/>
      <c r="G588" s="91"/>
    </row>
    <row r="589" customFormat="false" ht="15" hidden="false" customHeight="false" outlineLevel="0" collapsed="false">
      <c r="B589" s="40" t="s">
        <v>399</v>
      </c>
      <c r="C589" s="3"/>
      <c r="D589" s="3"/>
      <c r="E589" s="37"/>
      <c r="F589" s="91" t="n">
        <v>30000</v>
      </c>
      <c r="G589" s="91" t="n">
        <v>30000</v>
      </c>
    </row>
    <row r="590" customFormat="false" ht="15" hidden="false" customHeight="false" outlineLevel="0" collapsed="false">
      <c r="B590" s="40" t="s">
        <v>400</v>
      </c>
      <c r="C590" s="3"/>
      <c r="D590" s="3"/>
      <c r="E590" s="37"/>
      <c r="F590" s="37" t="n">
        <v>0</v>
      </c>
      <c r="G590" s="37" t="n">
        <v>0</v>
      </c>
    </row>
    <row r="591" customFormat="false" ht="15" hidden="false" customHeight="false" outlineLevel="0" collapsed="false">
      <c r="A591" s="76"/>
      <c r="B591" s="149"/>
      <c r="C591" s="206"/>
      <c r="D591" s="79"/>
      <c r="E591" s="253"/>
      <c r="F591" s="147" t="n">
        <f aca="false">SUM(F558:F590)</f>
        <v>1512199.58</v>
      </c>
      <c r="G591" s="147" t="n">
        <f aca="false">SUM(G558:G590)</f>
        <v>1607439.88</v>
      </c>
    </row>
    <row r="592" customFormat="false" ht="15" hidden="false" customHeight="false" outlineLevel="0" collapsed="false">
      <c r="A592" s="76"/>
      <c r="B592" s="189"/>
      <c r="C592" s="189"/>
      <c r="D592" s="3"/>
      <c r="E592" s="254"/>
      <c r="F592" s="5"/>
      <c r="G592" s="5"/>
    </row>
    <row r="593" s="3" customFormat="true" ht="15" hidden="false" customHeight="false" outlineLevel="0" collapsed="false">
      <c r="A593" s="76" t="n">
        <f aca="false">A554+1</f>
        <v>28</v>
      </c>
      <c r="B593" s="219" t="s">
        <v>401</v>
      </c>
      <c r="C593" s="100"/>
      <c r="D593" s="5"/>
      <c r="E593" s="255"/>
      <c r="F593" s="12" t="str">
        <f aca="false">F554</f>
        <v>2024-25</v>
      </c>
      <c r="G593" s="12" t="str">
        <f aca="false">G554</f>
        <v>2023-24</v>
      </c>
    </row>
    <row r="594" s="3" customFormat="true" ht="15" hidden="false" customHeight="false" outlineLevel="0" collapsed="false">
      <c r="A594" s="76"/>
      <c r="B594" s="149"/>
      <c r="C594" s="206"/>
      <c r="D594" s="79"/>
      <c r="E594" s="253"/>
      <c r="F594" s="194" t="str">
        <f aca="false">F555</f>
        <v>Rs.</v>
      </c>
      <c r="G594" s="194" t="str">
        <f aca="false">G555</f>
        <v>Rs.</v>
      </c>
    </row>
    <row r="595" s="3" customFormat="true" ht="15" hidden="false" customHeight="false" outlineLevel="0" collapsed="false">
      <c r="A595" s="76"/>
      <c r="B595" s="152" t="s">
        <v>402</v>
      </c>
      <c r="C595" s="5"/>
      <c r="D595" s="5"/>
      <c r="E595" s="254"/>
      <c r="F595" s="22" t="n">
        <v>32000</v>
      </c>
      <c r="G595" s="22" t="n">
        <v>55000</v>
      </c>
    </row>
    <row r="596" s="3" customFormat="true" ht="15" hidden="false" customHeight="false" outlineLevel="0" collapsed="false">
      <c r="A596" s="76"/>
      <c r="B596" s="40" t="s">
        <v>403</v>
      </c>
      <c r="E596" s="256"/>
      <c r="F596" s="66" t="n">
        <v>0</v>
      </c>
      <c r="G596" s="66"/>
    </row>
    <row r="597" s="3" customFormat="true" ht="15" hidden="false" customHeight="false" outlineLevel="0" collapsed="false">
      <c r="A597" s="76"/>
      <c r="B597" s="81"/>
      <c r="C597" s="79"/>
      <c r="D597" s="79"/>
      <c r="E597" s="257"/>
      <c r="F597" s="30" t="n">
        <f aca="false">SUM(F595:F596)</f>
        <v>32000</v>
      </c>
      <c r="G597" s="30" t="n">
        <f aca="false">SUM(G595:G596)</f>
        <v>55000</v>
      </c>
    </row>
    <row r="598" customFormat="false" ht="21" hidden="false" customHeight="true" outlineLevel="0" collapsed="false">
      <c r="A598" s="76"/>
      <c r="B598" s="3"/>
      <c r="C598" s="3"/>
      <c r="D598" s="3"/>
      <c r="E598" s="3"/>
      <c r="F598" s="3"/>
      <c r="G598" s="3"/>
    </row>
    <row r="599" customFormat="false" ht="15" hidden="false" customHeight="false" outlineLevel="0" collapsed="false">
      <c r="A599" s="76" t="n">
        <f aca="false">+A593+1</f>
        <v>29</v>
      </c>
      <c r="B599" s="219" t="s">
        <v>404</v>
      </c>
      <c r="C599" s="100"/>
      <c r="D599" s="5"/>
      <c r="E599" s="5"/>
      <c r="F599" s="128" t="str">
        <f aca="false">F593</f>
        <v>2024-25</v>
      </c>
      <c r="G599" s="128" t="str">
        <f aca="false">G593</f>
        <v>2023-24</v>
      </c>
    </row>
    <row r="600" customFormat="false" ht="15" hidden="false" customHeight="false" outlineLevel="0" collapsed="false">
      <c r="A600" s="76"/>
      <c r="B600" s="40"/>
      <c r="C600" s="3"/>
      <c r="D600" s="3"/>
      <c r="E600" s="3"/>
      <c r="F600" s="127" t="str">
        <f aca="false">F594</f>
        <v>Rs.</v>
      </c>
      <c r="G600" s="127" t="str">
        <f aca="false">G594</f>
        <v>Rs.</v>
      </c>
    </row>
    <row r="601" customFormat="false" ht="15" hidden="false" customHeight="false" outlineLevel="0" collapsed="false">
      <c r="A601" s="76"/>
      <c r="B601" s="63" t="s">
        <v>405</v>
      </c>
      <c r="C601" s="48"/>
      <c r="D601" s="3"/>
      <c r="E601" s="3"/>
      <c r="F601" s="24"/>
      <c r="G601" s="37"/>
    </row>
    <row r="602" customFormat="false" ht="15" hidden="false" customHeight="false" outlineLevel="0" collapsed="false">
      <c r="A602" s="76"/>
      <c r="B602" s="40" t="s">
        <v>406</v>
      </c>
      <c r="C602" s="3"/>
      <c r="D602" s="3"/>
      <c r="E602" s="3"/>
      <c r="F602" s="66" t="n">
        <f aca="false">+F90</f>
        <v>170475.510000005</v>
      </c>
      <c r="G602" s="66" t="n">
        <f aca="false">+G90</f>
        <v>286897.870000001</v>
      </c>
    </row>
    <row r="603" customFormat="false" ht="15" hidden="false" customHeight="false" outlineLevel="0" collapsed="false">
      <c r="A603" s="76"/>
      <c r="B603" s="40" t="s">
        <v>407</v>
      </c>
      <c r="C603" s="3"/>
      <c r="D603" s="3"/>
      <c r="E603" s="3"/>
      <c r="F603" s="24" t="n">
        <f aca="false">+F602</f>
        <v>170475.510000005</v>
      </c>
      <c r="G603" s="24" t="n">
        <f aca="false">+G602</f>
        <v>286897.870000001</v>
      </c>
    </row>
    <row r="604" customFormat="false" ht="15" hidden="false" customHeight="false" outlineLevel="0" collapsed="false">
      <c r="A604" s="76"/>
      <c r="B604" s="40" t="s">
        <v>408</v>
      </c>
      <c r="C604" s="3"/>
      <c r="D604" s="3"/>
      <c r="E604" s="3"/>
      <c r="F604" s="91" t="n">
        <v>300000</v>
      </c>
      <c r="G604" s="201" t="n">
        <v>300000</v>
      </c>
    </row>
    <row r="605" customFormat="false" ht="15" hidden="false" customHeight="false" outlineLevel="0" collapsed="false">
      <c r="A605" s="76"/>
      <c r="B605" s="40" t="s">
        <v>409</v>
      </c>
      <c r="C605" s="3"/>
      <c r="D605" s="3"/>
      <c r="E605" s="3"/>
      <c r="F605" s="258" t="n">
        <f aca="false">+F603/F604</f>
        <v>0.568251700000018</v>
      </c>
      <c r="G605" s="259" t="n">
        <f aca="false">+G603/G604</f>
        <v>0.956326233333337</v>
      </c>
    </row>
    <row r="606" customFormat="false" ht="15" hidden="false" customHeight="false" outlineLevel="0" collapsed="false">
      <c r="A606" s="76"/>
      <c r="B606" s="40"/>
      <c r="C606" s="3"/>
      <c r="D606" s="3"/>
      <c r="E606" s="3"/>
      <c r="F606" s="24"/>
      <c r="G606" s="37"/>
    </row>
    <row r="607" customFormat="false" ht="15" hidden="false" customHeight="false" outlineLevel="0" collapsed="false">
      <c r="A607" s="76"/>
      <c r="B607" s="63" t="s">
        <v>410</v>
      </c>
      <c r="C607" s="48"/>
      <c r="D607" s="3"/>
      <c r="E607" s="3"/>
      <c r="F607" s="24"/>
      <c r="G607" s="37"/>
    </row>
    <row r="608" customFormat="false" ht="15" hidden="false" customHeight="false" outlineLevel="0" collapsed="false">
      <c r="A608" s="76"/>
      <c r="B608" s="40" t="s">
        <v>406</v>
      </c>
      <c r="C608" s="3"/>
      <c r="D608" s="3"/>
      <c r="E608" s="3"/>
      <c r="F608" s="24" t="n">
        <f aca="false">+F602</f>
        <v>170475.510000005</v>
      </c>
      <c r="G608" s="37" t="n">
        <f aca="false">+G602</f>
        <v>286897.870000001</v>
      </c>
    </row>
    <row r="609" customFormat="false" ht="15" hidden="false" customHeight="false" outlineLevel="0" collapsed="false">
      <c r="A609" s="76"/>
      <c r="B609" s="40" t="s">
        <v>408</v>
      </c>
      <c r="C609" s="3"/>
      <c r="D609" s="3"/>
      <c r="E609" s="3"/>
      <c r="F609" s="24" t="n">
        <f aca="false">+F604</f>
        <v>300000</v>
      </c>
      <c r="G609" s="24" t="n">
        <f aca="false">+G604</f>
        <v>300000</v>
      </c>
    </row>
    <row r="610" customFormat="false" ht="15" hidden="false" customHeight="false" outlineLevel="0" collapsed="false">
      <c r="A610" s="76"/>
      <c r="B610" s="81" t="s">
        <v>411</v>
      </c>
      <c r="C610" s="79"/>
      <c r="D610" s="260"/>
      <c r="E610" s="79"/>
      <c r="F610" s="261" t="n">
        <f aca="false">+F608/F609</f>
        <v>0.568251700000018</v>
      </c>
      <c r="G610" s="261" t="n">
        <f aca="false">+G608/G609</f>
        <v>0.956326233333337</v>
      </c>
    </row>
    <row r="611" customFormat="false" ht="0.75" hidden="false" customHeight="true" outlineLevel="0" collapsed="false">
      <c r="A611" s="76"/>
      <c r="B611" s="48"/>
      <c r="C611" s="48"/>
      <c r="D611" s="3"/>
      <c r="E611" s="3"/>
      <c r="F611" s="262"/>
      <c r="G611" s="262"/>
    </row>
    <row r="612" customFormat="false" ht="15" hidden="false" customHeight="false" outlineLevel="0" collapsed="false">
      <c r="A612" s="76"/>
      <c r="B612" s="3"/>
      <c r="C612" s="3"/>
      <c r="D612" s="3"/>
      <c r="E612" s="3"/>
      <c r="F612" s="3"/>
      <c r="G612" s="3"/>
    </row>
    <row r="613" customFormat="false" ht="30.75" hidden="false" customHeight="true" outlineLevel="0" collapsed="false">
      <c r="A613" s="76" t="n">
        <f aca="false">A599+1</f>
        <v>30</v>
      </c>
      <c r="B613" s="33" t="s">
        <v>412</v>
      </c>
      <c r="C613" s="33"/>
      <c r="D613" s="33"/>
      <c r="E613" s="33"/>
      <c r="F613" s="33"/>
      <c r="G613" s="33"/>
    </row>
    <row r="614" customFormat="false" ht="11.25" hidden="false" customHeight="true" outlineLevel="0" collapsed="false">
      <c r="A614" s="76"/>
      <c r="B614" s="263" t="s">
        <v>41</v>
      </c>
      <c r="C614" s="263"/>
      <c r="D614" s="33"/>
      <c r="E614" s="3"/>
      <c r="F614" s="3"/>
      <c r="G614" s="3"/>
    </row>
    <row r="615" customFormat="false" ht="15" hidden="false" customHeight="false" outlineLevel="0" collapsed="false">
      <c r="A615" s="76"/>
      <c r="B615" s="152"/>
      <c r="C615" s="5"/>
      <c r="D615" s="5"/>
      <c r="E615" s="43"/>
      <c r="F615" s="128" t="str">
        <f aca="false">F599</f>
        <v>2024-25</v>
      </c>
      <c r="G615" s="128" t="str">
        <f aca="false">G599</f>
        <v>2023-24</v>
      </c>
    </row>
    <row r="616" customFormat="false" ht="15" hidden="false" customHeight="false" outlineLevel="0" collapsed="false">
      <c r="A616" s="76" t="n">
        <f aca="false">A613+1</f>
        <v>31</v>
      </c>
      <c r="B616" s="264" t="s">
        <v>413</v>
      </c>
      <c r="C616" s="265"/>
      <c r="D616" s="79"/>
      <c r="E616" s="54"/>
      <c r="F616" s="127" t="str">
        <f aca="false">F600</f>
        <v>Rs.</v>
      </c>
      <c r="G616" s="127" t="str">
        <f aca="false">G600</f>
        <v>Rs.</v>
      </c>
    </row>
    <row r="617" customFormat="false" ht="15" hidden="false" customHeight="false" outlineLevel="0" collapsed="false">
      <c r="A617" s="76"/>
      <c r="B617" s="152" t="s">
        <v>414</v>
      </c>
      <c r="C617" s="3"/>
      <c r="D617" s="3"/>
      <c r="E617" s="3"/>
      <c r="F617" s="200"/>
      <c r="G617" s="200"/>
    </row>
    <row r="618" customFormat="false" ht="15" hidden="false" customHeight="false" outlineLevel="0" collapsed="false">
      <c r="A618" s="76"/>
      <c r="B618" s="40" t="s">
        <v>415</v>
      </c>
      <c r="C618" s="3"/>
      <c r="D618" s="3"/>
      <c r="E618" s="3"/>
      <c r="F618" s="91" t="n">
        <v>0</v>
      </c>
      <c r="G618" s="91" t="n">
        <v>0</v>
      </c>
    </row>
    <row r="619" customFormat="false" ht="15" hidden="false" customHeight="false" outlineLevel="0" collapsed="false">
      <c r="A619" s="76"/>
      <c r="B619" s="40" t="s">
        <v>416</v>
      </c>
      <c r="C619" s="3"/>
      <c r="D619" s="3"/>
      <c r="E619" s="3"/>
      <c r="F619" s="91" t="n">
        <v>0</v>
      </c>
      <c r="G619" s="91" t="n">
        <v>0</v>
      </c>
    </row>
    <row r="620" customFormat="false" ht="15" hidden="false" customHeight="false" outlineLevel="0" collapsed="false">
      <c r="A620" s="76"/>
      <c r="B620" s="40" t="s">
        <v>417</v>
      </c>
      <c r="C620" s="3"/>
      <c r="D620" s="3"/>
      <c r="E620" s="3"/>
      <c r="F620" s="24"/>
      <c r="G620" s="24"/>
    </row>
    <row r="621" customFormat="false" ht="15" hidden="false" customHeight="false" outlineLevel="0" collapsed="false">
      <c r="A621" s="76"/>
      <c r="B621" s="40" t="s">
        <v>418</v>
      </c>
      <c r="C621" s="3"/>
      <c r="D621" s="3"/>
      <c r="E621" s="3"/>
      <c r="F621" s="24"/>
      <c r="G621" s="24"/>
    </row>
    <row r="622" customFormat="false" ht="15" hidden="false" customHeight="false" outlineLevel="0" collapsed="false">
      <c r="A622" s="76"/>
      <c r="B622" s="40" t="s">
        <v>419</v>
      </c>
      <c r="C622" s="3"/>
      <c r="D622" s="3"/>
      <c r="E622" s="3"/>
      <c r="F622" s="24" t="n">
        <v>0</v>
      </c>
      <c r="G622" s="24" t="n">
        <v>0</v>
      </c>
    </row>
    <row r="623" customFormat="false" ht="15" hidden="false" customHeight="false" outlineLevel="0" collapsed="false">
      <c r="A623" s="76"/>
      <c r="B623" s="81" t="s">
        <v>420</v>
      </c>
      <c r="C623" s="79"/>
      <c r="D623" s="79" t="s">
        <v>1</v>
      </c>
      <c r="E623" s="79"/>
      <c r="F623" s="41" t="n">
        <v>0</v>
      </c>
      <c r="G623" s="266" t="n">
        <v>0</v>
      </c>
    </row>
    <row r="624" customFormat="false" ht="15" hidden="false" customHeight="false" outlineLevel="0" collapsed="false">
      <c r="A624" s="76"/>
      <c r="B624" s="3"/>
      <c r="C624" s="3"/>
      <c r="D624" s="3"/>
      <c r="E624" s="3"/>
      <c r="F624" s="3"/>
      <c r="G624" s="48"/>
    </row>
    <row r="625" customFormat="false" ht="15" hidden="false" customHeight="false" outlineLevel="0" collapsed="false">
      <c r="A625" s="76"/>
      <c r="B625" s="152"/>
      <c r="C625" s="5"/>
      <c r="D625" s="5"/>
      <c r="E625" s="5"/>
      <c r="F625" s="128" t="str">
        <f aca="false">F615</f>
        <v>2024-25</v>
      </c>
      <c r="G625" s="128" t="str">
        <f aca="false">G615</f>
        <v>2023-24</v>
      </c>
    </row>
    <row r="626" customFormat="false" ht="15" hidden="false" customHeight="false" outlineLevel="0" collapsed="false">
      <c r="A626" s="76" t="n">
        <f aca="false">A616+1</f>
        <v>32</v>
      </c>
      <c r="B626" s="153" t="s">
        <v>421</v>
      </c>
      <c r="C626" s="36"/>
      <c r="D626" s="3"/>
      <c r="E626" s="3"/>
      <c r="F626" s="127" t="str">
        <f aca="false">F616</f>
        <v>Rs.</v>
      </c>
      <c r="G626" s="127" t="str">
        <f aca="false">G616</f>
        <v>Rs.</v>
      </c>
    </row>
    <row r="627" customFormat="false" ht="32.25" hidden="false" customHeight="true" outlineLevel="0" collapsed="false">
      <c r="A627" s="76"/>
      <c r="B627" s="267" t="s">
        <v>422</v>
      </c>
      <c r="C627" s="267"/>
      <c r="D627" s="267"/>
      <c r="E627" s="267"/>
      <c r="F627" s="30" t="n">
        <v>0</v>
      </c>
      <c r="G627" s="268" t="n">
        <v>0</v>
      </c>
    </row>
    <row r="628" customFormat="false" ht="15" hidden="false" customHeight="false" outlineLevel="0" collapsed="false">
      <c r="A628" s="76"/>
      <c r="B628" s="40" t="s">
        <v>423</v>
      </c>
      <c r="C628" s="3"/>
      <c r="D628" s="3"/>
      <c r="E628" s="3"/>
      <c r="F628" s="24" t="n">
        <v>0</v>
      </c>
      <c r="G628" s="37" t="n">
        <v>0</v>
      </c>
    </row>
    <row r="629" customFormat="false" ht="15" hidden="false" customHeight="false" outlineLevel="0" collapsed="false">
      <c r="A629" s="76"/>
      <c r="B629" s="81"/>
      <c r="C629" s="79"/>
      <c r="D629" s="79"/>
      <c r="E629" s="79"/>
      <c r="F629" s="266"/>
      <c r="G629" s="54"/>
    </row>
    <row r="630" customFormat="false" ht="15" hidden="false" customHeight="false" outlineLevel="0" collapsed="false">
      <c r="A630" s="76"/>
      <c r="B630" s="3"/>
      <c r="C630" s="3"/>
      <c r="D630" s="3"/>
      <c r="E630" s="3"/>
      <c r="F630" s="48"/>
      <c r="G630" s="3"/>
    </row>
    <row r="631" customFormat="false" ht="15" hidden="false" customHeight="false" outlineLevel="0" collapsed="false">
      <c r="A631" s="76" t="n">
        <f aca="false">A626+1</f>
        <v>33</v>
      </c>
      <c r="B631" s="219" t="s">
        <v>424</v>
      </c>
      <c r="C631" s="100"/>
      <c r="D631" s="5"/>
      <c r="E631" s="5"/>
      <c r="F631" s="5"/>
      <c r="G631" s="5"/>
    </row>
    <row r="632" customFormat="false" ht="51" hidden="false" customHeight="true" outlineLevel="0" collapsed="false">
      <c r="A632" s="76"/>
      <c r="B632" s="269" t="s">
        <v>425</v>
      </c>
      <c r="C632" s="269"/>
      <c r="D632" s="269"/>
      <c r="E632" s="269"/>
      <c r="F632" s="269"/>
      <c r="G632" s="269"/>
    </row>
    <row r="633" s="273" customFormat="true" ht="94.5" hidden="false" customHeight="true" outlineLevel="0" collapsed="false">
      <c r="A633" s="270"/>
      <c r="B633" s="271" t="s">
        <v>426</v>
      </c>
      <c r="C633" s="271"/>
      <c r="D633" s="272" t="s">
        <v>427</v>
      </c>
      <c r="E633" s="272" t="s">
        <v>428</v>
      </c>
      <c r="F633" s="272" t="s">
        <v>429</v>
      </c>
      <c r="G633" s="272" t="s">
        <v>430</v>
      </c>
      <c r="H633" s="213"/>
      <c r="I633" s="213"/>
      <c r="J633" s="213"/>
      <c r="K633" s="213"/>
      <c r="L633" s="213"/>
      <c r="M633" s="213"/>
      <c r="N633" s="213"/>
      <c r="O633" s="213"/>
      <c r="P633" s="213"/>
      <c r="Q633" s="213"/>
      <c r="R633" s="213"/>
      <c r="S633" s="213"/>
      <c r="T633" s="213"/>
      <c r="U633" s="213"/>
      <c r="V633" s="213"/>
      <c r="W633" s="213"/>
      <c r="X633" s="213"/>
      <c r="Y633" s="213"/>
      <c r="Z633" s="213"/>
      <c r="AA633" s="213"/>
      <c r="AB633" s="213"/>
      <c r="AC633" s="213"/>
      <c r="AD633" s="213"/>
      <c r="AE633" s="213"/>
      <c r="AF633" s="213"/>
      <c r="AG633" s="213"/>
      <c r="AH633" s="213"/>
      <c r="AI633" s="213"/>
      <c r="AJ633" s="213"/>
      <c r="AK633" s="213"/>
      <c r="AL633" s="213"/>
      <c r="AM633" s="213"/>
      <c r="AN633" s="213"/>
      <c r="AO633" s="213"/>
      <c r="AP633" s="213"/>
      <c r="AQ633" s="213"/>
      <c r="AR633" s="213"/>
      <c r="AS633" s="213"/>
      <c r="AT633" s="213"/>
      <c r="AU633" s="213"/>
      <c r="AV633" s="213"/>
      <c r="AW633" s="213"/>
      <c r="AX633" s="213"/>
      <c r="AY633" s="213"/>
      <c r="AZ633" s="213"/>
      <c r="BA633" s="213"/>
      <c r="BB633" s="213"/>
      <c r="BC633" s="213"/>
      <c r="BD633" s="213"/>
      <c r="BE633" s="213"/>
      <c r="BF633" s="213"/>
      <c r="BG633" s="213"/>
      <c r="BH633" s="213"/>
      <c r="BI633" s="213"/>
      <c r="BJ633" s="213"/>
      <c r="BK633" s="213"/>
      <c r="BL633" s="213"/>
      <c r="BM633" s="213"/>
      <c r="BN633" s="213"/>
      <c r="BO633" s="213"/>
      <c r="BP633" s="213"/>
      <c r="BQ633" s="213"/>
      <c r="BR633" s="213"/>
      <c r="BS633" s="213"/>
      <c r="BT633" s="213"/>
      <c r="BU633" s="213"/>
      <c r="BV633" s="213"/>
      <c r="BW633" s="213"/>
      <c r="BX633" s="213"/>
      <c r="BY633" s="213"/>
      <c r="BZ633" s="213"/>
      <c r="CA633" s="213"/>
    </row>
    <row r="634" customFormat="false" ht="15" hidden="false" customHeight="false" outlineLevel="0" collapsed="false">
      <c r="A634" s="76"/>
      <c r="B634" s="152"/>
      <c r="C634" s="5"/>
      <c r="D634" s="5"/>
      <c r="E634" s="5"/>
      <c r="F634" s="5"/>
      <c r="G634" s="5"/>
    </row>
    <row r="635" customFormat="false" ht="25.5" hidden="false" customHeight="true" outlineLevel="0" collapsed="false">
      <c r="A635" s="76"/>
      <c r="B635" s="152" t="s">
        <v>431</v>
      </c>
      <c r="C635" s="5"/>
      <c r="D635" s="5" t="s">
        <v>432</v>
      </c>
      <c r="E635" s="5"/>
      <c r="F635" s="3" t="s">
        <v>433</v>
      </c>
      <c r="G635" s="3" t="s">
        <v>433</v>
      </c>
    </row>
    <row r="636" customFormat="false" ht="28.5" hidden="false" customHeight="true" outlineLevel="0" collapsed="false">
      <c r="A636" s="76"/>
      <c r="B636" s="40"/>
      <c r="C636" s="3"/>
      <c r="D636" s="3" t="s">
        <v>434</v>
      </c>
      <c r="E636" s="3"/>
      <c r="F636" s="274"/>
      <c r="G636" s="274"/>
    </row>
    <row r="637" customFormat="false" ht="15" hidden="false" customHeight="false" outlineLevel="0" collapsed="false">
      <c r="A637" s="76"/>
      <c r="B637" s="40"/>
      <c r="C637" s="3"/>
      <c r="D637" s="3"/>
      <c r="E637" s="3"/>
      <c r="F637" s="3" t="s">
        <v>433</v>
      </c>
      <c r="G637" s="3" t="s">
        <v>433</v>
      </c>
    </row>
    <row r="638" customFormat="false" ht="15" hidden="false" customHeight="false" outlineLevel="0" collapsed="false">
      <c r="A638" s="76"/>
      <c r="B638" s="40" t="s">
        <v>435</v>
      </c>
      <c r="C638" s="3"/>
      <c r="D638" s="3" t="s">
        <v>432</v>
      </c>
      <c r="E638" s="3"/>
      <c r="F638" s="3"/>
      <c r="G638" s="3"/>
    </row>
    <row r="639" customFormat="false" ht="15" hidden="false" customHeight="false" outlineLevel="0" collapsed="false">
      <c r="A639" s="76"/>
      <c r="B639" s="40"/>
      <c r="C639" s="3"/>
      <c r="D639" s="3" t="s">
        <v>434</v>
      </c>
      <c r="E639" s="3"/>
      <c r="F639" s="3" t="s">
        <v>433</v>
      </c>
      <c r="G639" s="3" t="s">
        <v>433</v>
      </c>
    </row>
    <row r="640" customFormat="false" ht="15" hidden="false" customHeight="false" outlineLevel="0" collapsed="false">
      <c r="A640" s="76"/>
      <c r="B640" s="40"/>
      <c r="C640" s="3"/>
      <c r="D640" s="3"/>
      <c r="E640" s="3"/>
      <c r="F640" s="3"/>
      <c r="G640" s="3"/>
    </row>
    <row r="641" customFormat="false" ht="15" hidden="false" customHeight="false" outlineLevel="0" collapsed="false">
      <c r="A641" s="76"/>
      <c r="B641" s="40" t="s">
        <v>232</v>
      </c>
      <c r="C641" s="3"/>
      <c r="D641" s="3" t="s">
        <v>436</v>
      </c>
      <c r="E641" s="3"/>
      <c r="F641" s="3" t="s">
        <v>433</v>
      </c>
      <c r="G641" s="3" t="s">
        <v>433</v>
      </c>
    </row>
    <row r="642" customFormat="false" ht="15" hidden="false" customHeight="false" outlineLevel="0" collapsed="false">
      <c r="A642" s="76"/>
      <c r="B642" s="81"/>
      <c r="C642" s="79"/>
      <c r="D642" s="79"/>
      <c r="E642" s="79"/>
      <c r="F642" s="79"/>
      <c r="G642" s="79"/>
    </row>
    <row r="643" customFormat="false" ht="18" hidden="false" customHeight="true" outlineLevel="0" collapsed="false">
      <c r="A643" s="76"/>
      <c r="B643" s="170" t="s">
        <v>437</v>
      </c>
      <c r="C643" s="170"/>
      <c r="D643" s="170"/>
      <c r="E643" s="170"/>
      <c r="F643" s="170"/>
      <c r="G643" s="170"/>
    </row>
    <row r="644" customFormat="false" ht="15" hidden="false" customHeight="false" outlineLevel="0" collapsed="false">
      <c r="A644" s="76"/>
      <c r="B644" s="3" t="s">
        <v>438</v>
      </c>
      <c r="C644" s="3"/>
      <c r="D644" s="3"/>
      <c r="E644" s="3"/>
      <c r="F644" s="3"/>
      <c r="G644" s="3"/>
    </row>
    <row r="645" customFormat="false" ht="15" hidden="false" customHeight="false" outlineLevel="0" collapsed="false">
      <c r="A645" s="76"/>
      <c r="B645" s="3" t="s">
        <v>439</v>
      </c>
      <c r="C645" s="3"/>
      <c r="D645" s="3"/>
      <c r="E645" s="3"/>
      <c r="F645" s="3"/>
      <c r="G645" s="3"/>
    </row>
    <row r="646" customFormat="false" ht="15" hidden="false" customHeight="false" outlineLevel="0" collapsed="false">
      <c r="A646" s="76"/>
      <c r="B646" s="3" t="s">
        <v>440</v>
      </c>
      <c r="C646" s="3"/>
      <c r="D646" s="3"/>
      <c r="E646" s="3"/>
      <c r="F646" s="3"/>
      <c r="G646" s="3"/>
    </row>
    <row r="647" customFormat="false" ht="15" hidden="false" customHeight="false" outlineLevel="0" collapsed="false">
      <c r="A647" s="76"/>
      <c r="B647" s="3" t="s">
        <v>441</v>
      </c>
      <c r="C647" s="3"/>
      <c r="D647" s="3"/>
      <c r="E647" s="3"/>
      <c r="F647" s="3"/>
      <c r="G647" s="3"/>
    </row>
    <row r="648" customFormat="false" ht="15" hidden="false" customHeight="false" outlineLevel="0" collapsed="false">
      <c r="A648" s="76"/>
      <c r="B648" s="3" t="s">
        <v>442</v>
      </c>
      <c r="C648" s="3"/>
      <c r="D648" s="3"/>
      <c r="E648" s="3"/>
      <c r="F648" s="3"/>
      <c r="G648" s="3"/>
    </row>
    <row r="649" customFormat="false" ht="31.5" hidden="false" customHeight="true" outlineLevel="0" collapsed="false">
      <c r="A649" s="76"/>
      <c r="B649" s="170" t="s">
        <v>443</v>
      </c>
      <c r="C649" s="170"/>
      <c r="D649" s="170"/>
      <c r="E649" s="170"/>
      <c r="F649" s="170"/>
      <c r="G649" s="170"/>
    </row>
    <row r="650" customFormat="false" ht="29.25" hidden="false" customHeight="true" outlineLevel="0" collapsed="false">
      <c r="A650" s="76"/>
      <c r="B650" s="170" t="s">
        <v>444</v>
      </c>
      <c r="C650" s="170"/>
      <c r="D650" s="170"/>
      <c r="E650" s="170"/>
      <c r="F650" s="170"/>
      <c r="G650" s="170"/>
    </row>
    <row r="651" customFormat="false" ht="12" hidden="false" customHeight="true" outlineLevel="0" collapsed="false">
      <c r="A651" s="76"/>
      <c r="B651" s="170" t="s">
        <v>445</v>
      </c>
      <c r="C651" s="170"/>
      <c r="D651" s="170"/>
      <c r="E651" s="170"/>
      <c r="F651" s="170"/>
      <c r="G651" s="170"/>
    </row>
    <row r="652" customFormat="false" ht="12" hidden="false" customHeight="true" outlineLevel="0" collapsed="false">
      <c r="A652" s="76"/>
      <c r="B652" s="275" t="s">
        <v>446</v>
      </c>
      <c r="C652" s="275"/>
      <c r="D652" s="275"/>
      <c r="E652" s="275"/>
      <c r="F652" s="275"/>
      <c r="G652" s="275"/>
    </row>
    <row r="653" customFormat="false" ht="15" hidden="false" customHeight="false" outlineLevel="0" collapsed="false">
      <c r="A653" s="76"/>
      <c r="B653" s="3" t="s">
        <v>447</v>
      </c>
      <c r="C653" s="36"/>
      <c r="D653" s="3"/>
      <c r="E653" s="3"/>
      <c r="F653" s="3"/>
      <c r="G653" s="3"/>
    </row>
    <row r="654" customFormat="false" ht="15" hidden="false" customHeight="false" outlineLevel="0" collapsed="false">
      <c r="A654" s="76"/>
      <c r="B654" s="3" t="s">
        <v>448</v>
      </c>
      <c r="C654" s="3"/>
      <c r="D654" s="3"/>
      <c r="E654" s="3"/>
      <c r="F654" s="3"/>
      <c r="G654" s="3"/>
    </row>
    <row r="655" customFormat="false" ht="15" hidden="false" customHeight="false" outlineLevel="0" collapsed="false">
      <c r="A655" s="76"/>
      <c r="B655" s="36" t="s">
        <v>449</v>
      </c>
      <c r="C655" s="36"/>
      <c r="D655" s="3"/>
      <c r="E655" s="3"/>
      <c r="F655" s="3"/>
      <c r="G655" s="3"/>
    </row>
    <row r="656" customFormat="false" ht="20.25" hidden="false" customHeight="true" outlineLevel="0" collapsed="false">
      <c r="A656" s="76"/>
      <c r="B656" s="170" t="s">
        <v>450</v>
      </c>
      <c r="C656" s="170"/>
      <c r="D656" s="170"/>
      <c r="E656" s="170"/>
      <c r="F656" s="170"/>
      <c r="G656" s="170"/>
    </row>
    <row r="657" customFormat="false" ht="15" hidden="false" customHeight="false" outlineLevel="0" collapsed="false">
      <c r="A657" s="76"/>
      <c r="B657" s="36" t="s">
        <v>451</v>
      </c>
      <c r="C657" s="36"/>
      <c r="D657" s="3"/>
      <c r="E657" s="3"/>
      <c r="F657" s="3"/>
      <c r="G657" s="3"/>
    </row>
    <row r="658" customFormat="false" ht="27" hidden="false" customHeight="false" outlineLevel="0" collapsed="false">
      <c r="A658" s="76"/>
      <c r="B658" s="276" t="s">
        <v>452</v>
      </c>
      <c r="C658" s="276"/>
      <c r="D658" s="30" t="str">
        <f aca="false">F625</f>
        <v>2024-25</v>
      </c>
      <c r="E658" s="30" t="str">
        <f aca="false">G625</f>
        <v>2023-24</v>
      </c>
      <c r="F658" s="134" t="s">
        <v>453</v>
      </c>
      <c r="G658" s="134" t="s">
        <v>454</v>
      </c>
      <c r="H658" s="3" t="s">
        <v>455</v>
      </c>
      <c r="I658" s="3" t="s">
        <v>456</v>
      </c>
    </row>
    <row r="659" customFormat="false" ht="15" hidden="false" customHeight="false" outlineLevel="0" collapsed="false">
      <c r="A659" s="76"/>
      <c r="B659" s="40" t="s">
        <v>457</v>
      </c>
      <c r="C659" s="3"/>
      <c r="D659" s="6" t="n">
        <f aca="false">F45/F28</f>
        <v>19.1825731805621</v>
      </c>
      <c r="E659" s="6" t="n">
        <f aca="false">G45/G28</f>
        <v>16.4425640031721</v>
      </c>
      <c r="F659" s="156" t="s">
        <v>458</v>
      </c>
      <c r="G659" s="277" t="s">
        <v>459</v>
      </c>
      <c r="H659" s="6" t="n">
        <f aca="false">D659-E659</f>
        <v>2.74000917739006</v>
      </c>
      <c r="I659" s="6" t="n">
        <f aca="false">H659/E659*100</f>
        <v>16.6641235324458</v>
      </c>
    </row>
    <row r="660" customFormat="false" ht="25.5" hidden="false" customHeight="false" outlineLevel="0" collapsed="false">
      <c r="A660" s="76"/>
      <c r="B660" s="40" t="s">
        <v>460</v>
      </c>
      <c r="C660" s="3"/>
      <c r="D660" s="6" t="n">
        <f aca="false">F90/((F14+G14)/2)</f>
        <v>0.054525035816942</v>
      </c>
      <c r="E660" s="6" t="n">
        <f aca="false">G90/((G14+H14)/2)</f>
        <v>0.0990030821158179</v>
      </c>
      <c r="F660" s="156" t="s">
        <v>461</v>
      </c>
      <c r="G660" s="278" t="s">
        <v>462</v>
      </c>
      <c r="H660" s="6" t="n">
        <f aca="false">D660-E660</f>
        <v>-0.0444780462988759</v>
      </c>
      <c r="I660" s="6" t="n">
        <f aca="false">H660/E660*100</f>
        <v>-44.9259208383469</v>
      </c>
    </row>
    <row r="661" customFormat="false" ht="15" hidden="false" customHeight="false" outlineLevel="0" collapsed="false">
      <c r="A661" s="76"/>
      <c r="B661" s="40" t="s">
        <v>463</v>
      </c>
      <c r="C661" s="3"/>
      <c r="D661" s="6" t="n">
        <f aca="false">F66/((F39+G39)/2)</f>
        <v>0.532967853860968</v>
      </c>
      <c r="E661" s="6" t="n">
        <f aca="false">G66/((G39+H39)/2)</f>
        <v>0.285057373570786</v>
      </c>
      <c r="F661" s="156" t="s">
        <v>464</v>
      </c>
      <c r="G661" s="277" t="s">
        <v>465</v>
      </c>
      <c r="H661" s="6" t="n">
        <f aca="false">D661-E661</f>
        <v>0.247910480290182</v>
      </c>
      <c r="I661" s="6" t="n">
        <f aca="false">H661/E661*100</f>
        <v>86.9686257137354</v>
      </c>
    </row>
    <row r="662" customFormat="false" ht="15" hidden="false" customHeight="false" outlineLevel="0" collapsed="false">
      <c r="A662" s="76"/>
      <c r="B662" s="40" t="s">
        <v>466</v>
      </c>
      <c r="C662" s="3"/>
      <c r="D662" s="6" t="n">
        <f aca="false">F20/F14</f>
        <v>24.0909077093526</v>
      </c>
      <c r="E662" s="6" t="n">
        <f aca="false">G20/G14</f>
        <v>24.0521818837037</v>
      </c>
      <c r="F662" s="156" t="s">
        <v>467</v>
      </c>
      <c r="G662" s="277" t="s">
        <v>468</v>
      </c>
      <c r="H662" s="6" t="n">
        <f aca="false">D662-E662</f>
        <v>0.0387258256489034</v>
      </c>
      <c r="I662" s="6" t="n">
        <f aca="false">H662/E662*100</f>
        <v>0.161007537013271</v>
      </c>
    </row>
    <row r="663" customFormat="false" ht="51" hidden="false" customHeight="false" outlineLevel="0" collapsed="false">
      <c r="A663" s="76"/>
      <c r="B663" s="40" t="s">
        <v>469</v>
      </c>
      <c r="C663" s="3"/>
      <c r="D663" s="6" t="n">
        <f aca="false">(F90+F75+F76)/(F75+G243)</f>
        <v>0.883514207996589</v>
      </c>
      <c r="E663" s="6" t="n">
        <v>0.888612018537357</v>
      </c>
      <c r="F663" s="279" t="s">
        <v>470</v>
      </c>
      <c r="G663" s="278" t="s">
        <v>471</v>
      </c>
      <c r="H663" s="6" t="n">
        <f aca="false">D663-E663</f>
        <v>-0.00509781054076774</v>
      </c>
      <c r="I663" s="6" t="n">
        <f aca="false">H663/E663*100</f>
        <v>-0.5736823759326</v>
      </c>
    </row>
    <row r="664" customFormat="false" ht="25.5" hidden="false" customHeight="false" outlineLevel="0" collapsed="false">
      <c r="A664" s="76"/>
      <c r="B664" s="40" t="s">
        <v>472</v>
      </c>
      <c r="C664" s="3"/>
      <c r="D664" s="6" t="n">
        <f aca="false">F457/((F40+G40)/2)</f>
        <v>4.89801763086726</v>
      </c>
      <c r="E664" s="6" t="n">
        <f aca="false">G457/((G40+H40)/2)</f>
        <v>2.45988348365112</v>
      </c>
      <c r="F664" s="156" t="s">
        <v>473</v>
      </c>
      <c r="G664" s="278" t="s">
        <v>474</v>
      </c>
      <c r="H664" s="6" t="n">
        <f aca="false">D664-E664</f>
        <v>2.43813414721614</v>
      </c>
      <c r="I664" s="6" t="n">
        <f aca="false">H664/E664*100</f>
        <v>99.1158387549843</v>
      </c>
    </row>
    <row r="665" customFormat="false" ht="25.5" hidden="false" customHeight="true" outlineLevel="0" collapsed="false">
      <c r="A665" s="76"/>
      <c r="B665" s="280" t="s">
        <v>475</v>
      </c>
      <c r="C665" s="280"/>
      <c r="D665" s="6" t="n">
        <f aca="false">F504/((G304+G312)/2)</f>
        <v>0</v>
      </c>
      <c r="E665" s="6" t="n">
        <f aca="false">G504/((G312+H25)/2)</f>
        <v>0</v>
      </c>
      <c r="F665" s="156" t="s">
        <v>476</v>
      </c>
      <c r="G665" s="278" t="s">
        <v>477</v>
      </c>
      <c r="H665" s="6" t="n">
        <f aca="false">D665-E665</f>
        <v>0</v>
      </c>
      <c r="I665" s="6" t="e">
        <f aca="false">H665/E665*100</f>
        <v>#DIV/0!</v>
      </c>
    </row>
    <row r="666" customFormat="false" ht="25.5" hidden="false" customHeight="false" outlineLevel="0" collapsed="false">
      <c r="A666" s="76"/>
      <c r="B666" s="40" t="s">
        <v>478</v>
      </c>
      <c r="C666" s="3"/>
      <c r="D666" s="6" t="n">
        <f aca="false">F66/J12</f>
        <v>0.502444098582774</v>
      </c>
      <c r="E666" s="6" t="n">
        <f aca="false">G66/K12</f>
        <v>0.266240965350795</v>
      </c>
      <c r="F666" s="156" t="s">
        <v>479</v>
      </c>
      <c r="G666" s="278" t="s">
        <v>480</v>
      </c>
      <c r="H666" s="6" t="n">
        <f aca="false">D666-E666</f>
        <v>0.236203133231979</v>
      </c>
      <c r="I666" s="6" t="n">
        <f aca="false">H666/E666*100</f>
        <v>88.7178022813887</v>
      </c>
    </row>
    <row r="667" customFormat="false" ht="15" hidden="false" customHeight="false" outlineLevel="0" collapsed="false">
      <c r="A667" s="76"/>
      <c r="B667" s="40" t="s">
        <v>481</v>
      </c>
      <c r="C667" s="3"/>
      <c r="D667" s="6" t="n">
        <f aca="false">F90/F66</f>
        <v>0.00436420657310662</v>
      </c>
      <c r="E667" s="6" t="n">
        <f aca="false">G90/G66</f>
        <v>0.0146243452806213</v>
      </c>
      <c r="F667" s="156" t="s">
        <v>482</v>
      </c>
      <c r="G667" s="277" t="s">
        <v>479</v>
      </c>
      <c r="H667" s="6" t="n">
        <f aca="false">D667-E667</f>
        <v>-0.0102601387075147</v>
      </c>
      <c r="I667" s="6" t="n">
        <f aca="false">H667/E667*100</f>
        <v>-70.1579353512009</v>
      </c>
    </row>
    <row r="668" customFormat="false" ht="38.25" hidden="false" customHeight="false" outlineLevel="0" collapsed="false">
      <c r="A668" s="76"/>
      <c r="B668" s="40" t="s">
        <v>483</v>
      </c>
      <c r="C668" s="3"/>
      <c r="D668" s="6" t="n">
        <f aca="false">(F86+F75)/(F14+F20)</f>
        <v>0.0466468330064489</v>
      </c>
      <c r="E668" s="6" t="n">
        <f aca="false">(G86+G75)/(G14+G20)</f>
        <v>0.0320285906377876</v>
      </c>
      <c r="F668" s="279" t="s">
        <v>484</v>
      </c>
      <c r="G668" s="278" t="s">
        <v>485</v>
      </c>
      <c r="H668" s="6" t="n">
        <f aca="false">D668-E668</f>
        <v>0.0146182423686612</v>
      </c>
      <c r="I668" s="6" t="n">
        <f aca="false">H668/E668*100</f>
        <v>45.6412289069457</v>
      </c>
    </row>
    <row r="669" customFormat="false" ht="15" hidden="false" customHeight="false" outlineLevel="0" collapsed="false">
      <c r="A669" s="76"/>
      <c r="B669" s="81" t="s">
        <v>486</v>
      </c>
      <c r="C669" s="79"/>
      <c r="D669" s="281" t="s">
        <v>487</v>
      </c>
      <c r="E669" s="281" t="s">
        <v>487</v>
      </c>
      <c r="F669" s="79"/>
      <c r="G669" s="282"/>
      <c r="H669" s="6" t="e">
        <f aca="false">+E669-D669</f>
        <v>#VALUE!</v>
      </c>
      <c r="I669" s="6" t="e">
        <f aca="false">H669/E669*100</f>
        <v>#VALUE!</v>
      </c>
    </row>
    <row r="670" customFormat="false" ht="15" hidden="false" customHeight="false" outlineLevel="0" collapsed="false">
      <c r="A670" s="76"/>
      <c r="B670" s="3"/>
      <c r="C670" s="3"/>
      <c r="D670" s="3"/>
      <c r="E670" s="3"/>
      <c r="F670" s="3"/>
      <c r="G670" s="3"/>
    </row>
    <row r="671" customFormat="false" ht="15" hidden="false" customHeight="true" outlineLevel="0" collapsed="false">
      <c r="A671" s="76"/>
      <c r="B671" s="3"/>
      <c r="C671" s="3"/>
      <c r="D671" s="3"/>
      <c r="E671" s="3"/>
      <c r="F671" s="3"/>
      <c r="G671" s="3"/>
    </row>
    <row r="672" customFormat="false" ht="30" hidden="false" customHeight="true" outlineLevel="0" collapsed="false">
      <c r="A672" s="76"/>
      <c r="B672" s="33" t="s">
        <v>488</v>
      </c>
      <c r="C672" s="33"/>
      <c r="D672" s="33"/>
      <c r="E672" s="33"/>
      <c r="F672" s="33"/>
      <c r="G672" s="33"/>
    </row>
    <row r="673" customFormat="false" ht="30" hidden="false" customHeight="true" outlineLevel="0" collapsed="false">
      <c r="A673" s="76"/>
      <c r="B673" s="33" t="s">
        <v>489</v>
      </c>
      <c r="C673" s="33"/>
      <c r="D673" s="33"/>
      <c r="E673" s="33"/>
      <c r="F673" s="33"/>
      <c r="G673" s="33"/>
    </row>
    <row r="674" customFormat="false" ht="30" hidden="false" customHeight="true" outlineLevel="0" collapsed="false">
      <c r="A674" s="76"/>
      <c r="B674" s="33" t="s">
        <v>490</v>
      </c>
      <c r="C674" s="33"/>
      <c r="D674" s="33"/>
      <c r="E674" s="33"/>
      <c r="F674" s="33"/>
      <c r="G674" s="33"/>
    </row>
    <row r="675" customFormat="false" ht="30" hidden="false" customHeight="true" outlineLevel="0" collapsed="false">
      <c r="A675" s="76"/>
      <c r="B675" s="33" t="s">
        <v>491</v>
      </c>
      <c r="C675" s="33"/>
      <c r="D675" s="33"/>
      <c r="E675" s="33"/>
      <c r="F675" s="33"/>
      <c r="G675" s="33"/>
    </row>
    <row r="676" customFormat="false" ht="30" hidden="false" customHeight="true" outlineLevel="0" collapsed="false">
      <c r="A676" s="76"/>
      <c r="B676" s="33" t="s">
        <v>492</v>
      </c>
      <c r="C676" s="33"/>
      <c r="D676" s="33"/>
      <c r="E676" s="33"/>
      <c r="F676" s="33"/>
      <c r="G676" s="33"/>
    </row>
    <row r="677" customFormat="false" ht="30" hidden="false" customHeight="true" outlineLevel="0" collapsed="false">
      <c r="A677" s="76"/>
      <c r="B677" s="33" t="s">
        <v>493</v>
      </c>
      <c r="C677" s="33"/>
      <c r="D677" s="33"/>
      <c r="E677" s="33"/>
      <c r="F677" s="33"/>
      <c r="G677" s="33"/>
    </row>
    <row r="678" customFormat="false" ht="31.15" hidden="false" customHeight="true" outlineLevel="0" collapsed="false">
      <c r="A678" s="76"/>
      <c r="B678" s="33" t="s">
        <v>494</v>
      </c>
      <c r="C678" s="33"/>
      <c r="D678" s="33"/>
      <c r="E678" s="33"/>
      <c r="F678" s="33"/>
      <c r="G678" s="33"/>
    </row>
    <row r="679" customFormat="false" ht="8.25" hidden="false" customHeight="true" outlineLevel="0" collapsed="false">
      <c r="A679" s="76"/>
      <c r="B679" s="3"/>
      <c r="C679" s="3"/>
      <c r="D679" s="3"/>
      <c r="E679" s="3"/>
      <c r="F679" s="3"/>
      <c r="G679" s="3"/>
    </row>
    <row r="680" customFormat="false" ht="56.25" hidden="false" customHeight="true" outlineLevel="0" collapsed="false">
      <c r="A680" s="76"/>
      <c r="B680" s="176" t="s">
        <v>495</v>
      </c>
      <c r="C680" s="176"/>
      <c r="D680" s="176"/>
      <c r="E680" s="176"/>
      <c r="F680" s="176"/>
      <c r="G680" s="176"/>
    </row>
    <row r="681" customFormat="false" ht="15" hidden="false" customHeight="false" outlineLevel="0" collapsed="false">
      <c r="A681" s="76"/>
      <c r="B681" s="3"/>
      <c r="C681" s="3"/>
      <c r="D681" s="3"/>
      <c r="E681" s="3"/>
      <c r="F681" s="3"/>
      <c r="G681" s="3"/>
    </row>
    <row r="682" customFormat="false" ht="15" hidden="false" customHeight="false" outlineLevel="0" collapsed="false">
      <c r="A682" s="76"/>
      <c r="B682" s="36" t="s">
        <v>496</v>
      </c>
      <c r="C682" s="36"/>
      <c r="D682" s="3"/>
      <c r="E682" s="3"/>
      <c r="F682" s="3" t="s">
        <v>497</v>
      </c>
      <c r="G682" s="3"/>
    </row>
    <row r="683" customFormat="false" ht="15" hidden="false" customHeight="false" outlineLevel="0" collapsed="false">
      <c r="A683" s="76"/>
      <c r="B683" s="36" t="s">
        <v>498</v>
      </c>
      <c r="C683" s="36"/>
      <c r="D683" s="3"/>
      <c r="E683" s="3"/>
      <c r="F683" s="3" t="s">
        <v>497</v>
      </c>
      <c r="G683" s="3"/>
    </row>
    <row r="684" customFormat="false" ht="15" hidden="false" customHeight="false" outlineLevel="0" collapsed="false">
      <c r="A684" s="76"/>
      <c r="B684" s="36"/>
      <c r="C684" s="36"/>
      <c r="D684" s="3"/>
      <c r="E684" s="3"/>
      <c r="F684" s="3"/>
      <c r="G684" s="3"/>
    </row>
    <row r="685" customFormat="false" ht="25.5" hidden="false" customHeight="true" outlineLevel="0" collapsed="false">
      <c r="A685" s="76"/>
      <c r="B685" s="33" t="s">
        <v>499</v>
      </c>
      <c r="C685" s="33"/>
      <c r="D685" s="33"/>
      <c r="E685" s="33"/>
      <c r="F685" s="33"/>
      <c r="G685" s="33"/>
    </row>
    <row r="686" customFormat="false" ht="15" hidden="false" customHeight="false" outlineLevel="0" collapsed="false">
      <c r="A686" s="76"/>
      <c r="B686" s="3"/>
      <c r="C686" s="3"/>
      <c r="D686" s="3"/>
      <c r="E686" s="3"/>
      <c r="F686" s="3"/>
      <c r="G686" s="3"/>
    </row>
    <row r="687" customFormat="false" ht="15" hidden="false" customHeight="false" outlineLevel="0" collapsed="false">
      <c r="A687" s="76"/>
      <c r="B687" s="152"/>
      <c r="C687" s="5"/>
      <c r="D687" s="5"/>
      <c r="E687" s="5"/>
      <c r="F687" s="128" t="str">
        <f aca="false">F625</f>
        <v>2024-25</v>
      </c>
      <c r="G687" s="129" t="str">
        <f aca="false">G625</f>
        <v>2023-24</v>
      </c>
    </row>
    <row r="688" customFormat="false" ht="15" hidden="false" customHeight="false" outlineLevel="0" collapsed="false">
      <c r="A688" s="76" t="n">
        <f aca="false">A631+1</f>
        <v>34</v>
      </c>
      <c r="B688" s="40" t="s">
        <v>500</v>
      </c>
      <c r="C688" s="3"/>
      <c r="D688" s="3"/>
      <c r="E688" s="3"/>
      <c r="F688" s="127" t="str">
        <f aca="false">F626</f>
        <v>Rs.</v>
      </c>
      <c r="G688" s="127" t="str">
        <f aca="false">G626</f>
        <v>Rs.</v>
      </c>
    </row>
    <row r="689" customFormat="false" ht="15" hidden="false" customHeight="false" outlineLevel="0" collapsed="false">
      <c r="A689" s="76"/>
      <c r="B689" s="40" t="s">
        <v>1</v>
      </c>
      <c r="C689" s="3"/>
      <c r="D689" s="3"/>
      <c r="E689" s="3"/>
      <c r="F689" s="283" t="n">
        <v>0</v>
      </c>
      <c r="G689" s="22" t="n">
        <v>0</v>
      </c>
    </row>
    <row r="690" customFormat="false" ht="15" hidden="false" customHeight="false" outlineLevel="0" collapsed="false">
      <c r="A690" s="76"/>
      <c r="B690" s="81"/>
      <c r="C690" s="79"/>
      <c r="D690" s="79"/>
      <c r="E690" s="79"/>
      <c r="F690" s="30" t="n">
        <f aca="false">SUM(F689:F689)</f>
        <v>0</v>
      </c>
      <c r="G690" s="30" t="n">
        <f aca="false">SUM(G689:G689)</f>
        <v>0</v>
      </c>
    </row>
    <row r="691" customFormat="false" ht="15" hidden="false" customHeight="false" outlineLevel="0" collapsed="false">
      <c r="A691" s="76"/>
      <c r="B691" s="3"/>
      <c r="C691" s="3"/>
      <c r="D691" s="3"/>
      <c r="E691" s="3"/>
      <c r="F691" s="3"/>
      <c r="G691" s="3"/>
    </row>
    <row r="692" customFormat="false" ht="15" hidden="false" customHeight="false" outlineLevel="0" collapsed="false">
      <c r="A692" s="76"/>
      <c r="B692" s="152"/>
      <c r="C692" s="5"/>
      <c r="D692" s="5"/>
      <c r="E692" s="5"/>
      <c r="F692" s="128" t="str">
        <f aca="false">+F687</f>
        <v>2024-25</v>
      </c>
      <c r="G692" s="128" t="str">
        <f aca="false">+G687</f>
        <v>2023-24</v>
      </c>
    </row>
    <row r="693" customFormat="false" ht="14.25" hidden="false" customHeight="true" outlineLevel="0" collapsed="false">
      <c r="A693" s="76" t="n">
        <f aca="false">A688+1</f>
        <v>35</v>
      </c>
      <c r="B693" s="40" t="s">
        <v>501</v>
      </c>
      <c r="C693" s="3"/>
      <c r="D693" s="3"/>
      <c r="E693" s="284"/>
      <c r="F693" s="127" t="str">
        <f aca="false">+F688</f>
        <v>Rs.</v>
      </c>
      <c r="G693" s="127" t="str">
        <f aca="false">+G688</f>
        <v>Rs.</v>
      </c>
    </row>
    <row r="694" customFormat="false" ht="14.25" hidden="false" customHeight="true" outlineLevel="0" collapsed="false">
      <c r="A694" s="76"/>
      <c r="B694" s="40" t="s">
        <v>502</v>
      </c>
      <c r="C694" s="3"/>
      <c r="D694" s="3"/>
      <c r="E694" s="285"/>
      <c r="F694" s="22" t="n">
        <v>0</v>
      </c>
      <c r="G694" s="24" t="n">
        <v>0</v>
      </c>
    </row>
    <row r="695" customFormat="false" ht="14.25" hidden="false" customHeight="true" outlineLevel="0" collapsed="false">
      <c r="A695" s="76"/>
      <c r="B695" s="81"/>
      <c r="C695" s="79"/>
      <c r="D695" s="79"/>
      <c r="E695" s="79"/>
      <c r="F695" s="30" t="n">
        <f aca="false">SUM(F694:F694)</f>
        <v>0</v>
      </c>
      <c r="G695" s="30" t="n">
        <f aca="false">SUM(G694:G694)</f>
        <v>0</v>
      </c>
    </row>
    <row r="696" customFormat="false" ht="14.25" hidden="false" customHeight="true" outlineLevel="0" collapsed="false">
      <c r="A696" s="76"/>
      <c r="B696" s="3"/>
      <c r="C696" s="3"/>
      <c r="D696" s="3"/>
      <c r="E696" s="3"/>
      <c r="F696" s="3"/>
      <c r="G696" s="3"/>
    </row>
    <row r="697" customFormat="false" ht="25.5" hidden="false" customHeight="true" outlineLevel="0" collapsed="false">
      <c r="A697" s="76" t="n">
        <f aca="false">A693+1</f>
        <v>36</v>
      </c>
      <c r="B697" s="133" t="s">
        <v>503</v>
      </c>
      <c r="C697" s="133"/>
      <c r="D697" s="133"/>
      <c r="E697" s="133"/>
      <c r="F697" s="133"/>
      <c r="G697" s="133"/>
    </row>
    <row r="698" customFormat="false" ht="13.5" hidden="false" customHeight="false" outlineLevel="0" collapsed="false">
      <c r="A698" s="2"/>
      <c r="B698" s="152"/>
      <c r="C698" s="152"/>
      <c r="D698" s="118" t="str">
        <f aca="false">F692</f>
        <v>2024-25</v>
      </c>
      <c r="E698" s="118"/>
      <c r="F698" s="118" t="str">
        <f aca="false">G692</f>
        <v>2023-24</v>
      </c>
      <c r="G698" s="118"/>
    </row>
    <row r="699" customFormat="false" ht="15" hidden="false" customHeight="false" outlineLevel="0" collapsed="false">
      <c r="A699" s="76"/>
      <c r="B699" s="81"/>
      <c r="C699" s="81"/>
      <c r="D699" s="118" t="str">
        <f aca="false">F693</f>
        <v>Rs.</v>
      </c>
      <c r="E699" s="118" t="s">
        <v>504</v>
      </c>
      <c r="F699" s="118" t="str">
        <f aca="false">+G693</f>
        <v>Rs.</v>
      </c>
      <c r="G699" s="118" t="s">
        <v>504</v>
      </c>
    </row>
    <row r="700" customFormat="false" ht="15" hidden="false" customHeight="false" outlineLevel="0" collapsed="false">
      <c r="A700" s="76"/>
      <c r="B700" s="152"/>
      <c r="C700" s="152"/>
      <c r="D700" s="22"/>
      <c r="E700" s="22" t="s">
        <v>1</v>
      </c>
      <c r="F700" s="22"/>
      <c r="G700" s="22"/>
    </row>
    <row r="701" customFormat="false" ht="15" hidden="false" customHeight="false" outlineLevel="0" collapsed="false">
      <c r="A701" s="76"/>
      <c r="B701" s="153" t="s">
        <v>266</v>
      </c>
      <c r="C701" s="153"/>
      <c r="D701" s="24"/>
      <c r="E701" s="24"/>
      <c r="F701" s="24"/>
      <c r="G701" s="24"/>
    </row>
    <row r="702" customFormat="false" ht="16.5" hidden="false" customHeight="true" outlineLevel="0" collapsed="false">
      <c r="A702" s="76"/>
      <c r="B702" s="40" t="s">
        <v>505</v>
      </c>
      <c r="C702" s="40"/>
      <c r="D702" s="286" t="n">
        <f aca="false">F689</f>
        <v>0</v>
      </c>
      <c r="E702" s="258" t="n">
        <f aca="false">+D702/($D$703+$D$702)*100</f>
        <v>0</v>
      </c>
      <c r="F702" s="24" t="n">
        <v>0</v>
      </c>
      <c r="G702" s="258" t="n">
        <f aca="false">+F702/($F$703+$F$702)*100</f>
        <v>0</v>
      </c>
    </row>
    <row r="703" customFormat="false" ht="16.5" hidden="false" customHeight="true" outlineLevel="0" collapsed="false">
      <c r="A703" s="76"/>
      <c r="B703" s="81" t="s">
        <v>506</v>
      </c>
      <c r="C703" s="81"/>
      <c r="D703" s="41" t="n">
        <f aca="false">+F508</f>
        <v>36146528.33</v>
      </c>
      <c r="E703" s="261" t="n">
        <f aca="false">+D703/($D$703+$D$702)*100</f>
        <v>100</v>
      </c>
      <c r="F703" s="41" t="n">
        <f aca="false">+G508</f>
        <v>18822738.31</v>
      </c>
      <c r="G703" s="261" t="n">
        <f aca="false">+F703/($F$703+$F$702)*100</f>
        <v>100</v>
      </c>
    </row>
    <row r="704" customFormat="false" ht="16.5" hidden="false" customHeight="true" outlineLevel="0" collapsed="false">
      <c r="A704" s="76"/>
      <c r="B704" s="81"/>
      <c r="C704" s="79"/>
      <c r="D704" s="79"/>
      <c r="E704" s="79"/>
      <c r="F704" s="79"/>
      <c r="G704" s="268"/>
    </row>
    <row r="705" customFormat="false" ht="16.5" hidden="false" customHeight="true" outlineLevel="0" collapsed="false">
      <c r="A705" s="76"/>
      <c r="B705" s="153" t="s">
        <v>507</v>
      </c>
      <c r="C705" s="36"/>
      <c r="D705" s="3"/>
      <c r="E705" s="3"/>
      <c r="F705" s="3"/>
      <c r="G705" s="37"/>
    </row>
    <row r="706" customFormat="false" ht="15" hidden="false" customHeight="false" outlineLevel="0" collapsed="false">
      <c r="A706" s="76"/>
      <c r="B706" s="40" t="s">
        <v>508</v>
      </c>
      <c r="C706" s="3"/>
      <c r="D706" s="3" t="n">
        <v>0</v>
      </c>
      <c r="E706" s="3" t="n">
        <v>0</v>
      </c>
      <c r="F706" s="3" t="n">
        <v>0</v>
      </c>
      <c r="G706" s="37" t="n">
        <v>0</v>
      </c>
    </row>
    <row r="707" customFormat="false" ht="15" hidden="false" customHeight="false" outlineLevel="0" collapsed="false">
      <c r="A707" s="76"/>
      <c r="B707" s="81" t="s">
        <v>506</v>
      </c>
      <c r="C707" s="79"/>
      <c r="D707" s="79" t="n">
        <f aca="false">F497-D706</f>
        <v>0</v>
      </c>
      <c r="E707" s="261" t="n">
        <v>0</v>
      </c>
      <c r="F707" s="79" t="n">
        <v>0</v>
      </c>
      <c r="G707" s="261" t="e">
        <f aca="false">+F707/($F$706+$F$707)*100</f>
        <v>#DIV/0!</v>
      </c>
    </row>
    <row r="708" customFormat="false" ht="15" hidden="false" customHeight="false" outlineLevel="0" collapsed="false">
      <c r="A708" s="76"/>
      <c r="B708" s="3"/>
      <c r="C708" s="3"/>
      <c r="D708" s="3"/>
      <c r="E708" s="3"/>
      <c r="F708" s="3"/>
      <c r="G708" s="3"/>
    </row>
    <row r="709" customFormat="false" ht="15.75" hidden="false" customHeight="true" outlineLevel="0" collapsed="false">
      <c r="A709" s="76" t="n">
        <f aca="false">A697+1</f>
        <v>37</v>
      </c>
      <c r="B709" s="152" t="s">
        <v>509</v>
      </c>
      <c r="C709" s="5"/>
      <c r="D709" s="5"/>
      <c r="E709" s="5"/>
      <c r="F709" s="128" t="str">
        <f aca="false">F687</f>
        <v>2024-25</v>
      </c>
      <c r="G709" s="128" t="str">
        <f aca="false">G687</f>
        <v>2023-24</v>
      </c>
    </row>
    <row r="710" customFormat="false" ht="16.5" hidden="false" customHeight="true" outlineLevel="0" collapsed="false">
      <c r="A710" s="76"/>
      <c r="B710" s="40"/>
      <c r="C710" s="3"/>
      <c r="D710" s="3"/>
      <c r="E710" s="3"/>
      <c r="F710" s="127" t="str">
        <f aca="false">F693</f>
        <v>Rs.</v>
      </c>
      <c r="G710" s="127" t="str">
        <f aca="false">G693</f>
        <v>Rs.</v>
      </c>
    </row>
    <row r="711" customFormat="false" ht="20.25" hidden="false" customHeight="true" outlineLevel="0" collapsed="false">
      <c r="A711" s="76"/>
      <c r="B711" s="40" t="s">
        <v>1</v>
      </c>
      <c r="C711" s="3"/>
      <c r="D711" s="3"/>
      <c r="E711" s="3"/>
      <c r="F711" s="30" t="n">
        <v>0</v>
      </c>
      <c r="G711" s="30" t="n">
        <v>0</v>
      </c>
    </row>
    <row r="712" customFormat="false" ht="20.25" hidden="false" customHeight="true" outlineLevel="0" collapsed="false">
      <c r="A712" s="76"/>
      <c r="B712" s="3"/>
      <c r="C712" s="3"/>
      <c r="D712" s="3"/>
      <c r="E712" s="3"/>
      <c r="F712" s="3"/>
      <c r="G712" s="3"/>
    </row>
    <row r="713" customFormat="false" ht="15" hidden="false" customHeight="false" outlineLevel="0" collapsed="false">
      <c r="A713" s="76"/>
      <c r="B713" s="152"/>
      <c r="C713" s="5"/>
      <c r="D713" s="5"/>
      <c r="E713" s="5"/>
      <c r="F713" s="128" t="str">
        <f aca="false">F709</f>
        <v>2024-25</v>
      </c>
      <c r="G713" s="129" t="str">
        <f aca="false">G709</f>
        <v>2023-24</v>
      </c>
    </row>
    <row r="714" customFormat="false" ht="15" hidden="false" customHeight="false" outlineLevel="0" collapsed="false">
      <c r="A714" s="76" t="n">
        <f aca="false">A709+1</f>
        <v>38</v>
      </c>
      <c r="B714" s="40" t="s">
        <v>510</v>
      </c>
      <c r="C714" s="3"/>
      <c r="D714" s="3"/>
      <c r="E714" s="3"/>
      <c r="F714" s="127" t="str">
        <f aca="false">F710</f>
        <v>Rs.</v>
      </c>
      <c r="G714" s="127" t="str">
        <f aca="false">G710</f>
        <v>Rs.</v>
      </c>
    </row>
    <row r="715" customFormat="false" ht="15" hidden="false" customHeight="false" outlineLevel="0" collapsed="false">
      <c r="A715" s="76"/>
      <c r="B715" s="40" t="s">
        <v>1</v>
      </c>
      <c r="C715" s="3" t="s">
        <v>511</v>
      </c>
      <c r="D715" s="3"/>
      <c r="E715" s="3"/>
      <c r="F715" s="24"/>
      <c r="G715" s="37"/>
    </row>
    <row r="716" customFormat="false" ht="13.5" hidden="false" customHeight="false" outlineLevel="0" collapsed="false">
      <c r="A716" s="75"/>
      <c r="B716" s="81"/>
      <c r="C716" s="79"/>
      <c r="D716" s="79"/>
      <c r="E716" s="79"/>
      <c r="F716" s="30" t="n">
        <f aca="false">SUM(F715:F715)</f>
        <v>0</v>
      </c>
      <c r="G716" s="42" t="n">
        <f aca="false">SUM(G715:G715)</f>
        <v>0</v>
      </c>
    </row>
    <row r="717" customFormat="false" ht="15" hidden="false" customHeight="false" outlineLevel="0" collapsed="false">
      <c r="A717" s="76"/>
      <c r="B717" s="3"/>
      <c r="C717" s="3"/>
      <c r="D717" s="3"/>
      <c r="E717" s="3"/>
      <c r="F717" s="3"/>
      <c r="G717" s="3"/>
    </row>
    <row r="718" customFormat="false" ht="27.75" hidden="false" customHeight="true" outlineLevel="0" collapsed="false">
      <c r="A718" s="76" t="n">
        <f aca="false">A714+1</f>
        <v>39</v>
      </c>
      <c r="B718" s="33" t="s">
        <v>512</v>
      </c>
      <c r="C718" s="33"/>
      <c r="D718" s="33"/>
      <c r="E718" s="33"/>
      <c r="F718" s="33"/>
      <c r="G718" s="33"/>
    </row>
    <row r="719" customFormat="false" ht="10.5" hidden="false" customHeight="true" outlineLevel="0" collapsed="false">
      <c r="A719" s="76"/>
      <c r="B719" s="33"/>
      <c r="C719" s="33"/>
      <c r="D719" s="33"/>
      <c r="E719" s="33"/>
      <c r="F719" s="3"/>
      <c r="G719" s="3"/>
    </row>
    <row r="720" customFormat="false" ht="27.75" hidden="false" customHeight="true" outlineLevel="0" collapsed="false">
      <c r="A720" s="76" t="n">
        <f aca="false">A718+1</f>
        <v>40</v>
      </c>
      <c r="B720" s="33" t="s">
        <v>513</v>
      </c>
      <c r="C720" s="33"/>
      <c r="D720" s="33"/>
      <c r="E720" s="33"/>
      <c r="F720" s="33"/>
      <c r="G720" s="33"/>
    </row>
    <row r="721" customFormat="false" ht="15" hidden="false" customHeight="false" outlineLevel="0" collapsed="false">
      <c r="A721" s="76"/>
      <c r="B721" s="33"/>
      <c r="C721" s="33"/>
      <c r="D721" s="33"/>
      <c r="E721" s="33"/>
      <c r="F721" s="33"/>
      <c r="G721" s="33"/>
    </row>
    <row r="722" customFormat="false" ht="15" hidden="false" customHeight="true" outlineLevel="0" collapsed="false">
      <c r="A722" s="48" t="n">
        <f aca="false">+A720+1</f>
        <v>41</v>
      </c>
      <c r="B722" s="287" t="s">
        <v>514</v>
      </c>
      <c r="C722" s="287"/>
      <c r="D722" s="287"/>
      <c r="E722" s="287"/>
      <c r="F722" s="118" t="str">
        <f aca="false">+F713</f>
        <v>2024-25</v>
      </c>
      <c r="G722" s="129" t="str">
        <f aca="false">+G713</f>
        <v>2023-24</v>
      </c>
    </row>
    <row r="723" customFormat="false" ht="15" hidden="false" customHeight="false" outlineLevel="0" collapsed="false">
      <c r="A723" s="76"/>
      <c r="B723" s="288"/>
      <c r="C723" s="289"/>
      <c r="D723" s="289"/>
      <c r="E723" s="79"/>
      <c r="F723" s="290" t="str">
        <f aca="false">F714</f>
        <v>Rs.</v>
      </c>
      <c r="G723" s="290" t="str">
        <f aca="false">G714</f>
        <v>Rs.</v>
      </c>
    </row>
    <row r="724" customFormat="false" ht="9" hidden="false" customHeight="true" outlineLevel="0" collapsed="false">
      <c r="A724" s="76"/>
      <c r="B724" s="152"/>
      <c r="C724" s="3"/>
      <c r="D724" s="3"/>
      <c r="E724" s="3"/>
      <c r="F724" s="291"/>
      <c r="G724" s="292"/>
    </row>
    <row r="725" customFormat="false" ht="27.75" hidden="false" customHeight="true" outlineLevel="0" collapsed="false">
      <c r="A725" s="76"/>
      <c r="B725" s="280" t="s">
        <v>515</v>
      </c>
      <c r="C725" s="280"/>
      <c r="D725" s="280"/>
      <c r="E725" s="280"/>
      <c r="F725" s="291" t="n">
        <f aca="false">G302</f>
        <v>0</v>
      </c>
      <c r="G725" s="291" t="n">
        <f aca="false">G310</f>
        <v>0</v>
      </c>
    </row>
    <row r="726" customFormat="false" ht="28.5" hidden="false" customHeight="true" outlineLevel="0" collapsed="false">
      <c r="A726" s="76"/>
      <c r="B726" s="280" t="s">
        <v>516</v>
      </c>
      <c r="C726" s="280"/>
      <c r="D726" s="280"/>
      <c r="E726" s="280"/>
      <c r="F726" s="291" t="n">
        <v>0</v>
      </c>
      <c r="G726" s="292" t="n">
        <v>0</v>
      </c>
    </row>
    <row r="727" customFormat="false" ht="54" hidden="false" customHeight="true" outlineLevel="0" collapsed="false">
      <c r="A727" s="75"/>
      <c r="B727" s="280" t="s">
        <v>517</v>
      </c>
      <c r="C727" s="280"/>
      <c r="D727" s="280"/>
      <c r="E727" s="280"/>
      <c r="F727" s="291" t="n">
        <v>0</v>
      </c>
      <c r="G727" s="292" t="n">
        <v>0</v>
      </c>
    </row>
    <row r="728" customFormat="false" ht="56.25" hidden="false" customHeight="true" outlineLevel="0" collapsed="false">
      <c r="A728" s="76"/>
      <c r="B728" s="280" t="s">
        <v>518</v>
      </c>
      <c r="C728" s="280"/>
      <c r="D728" s="280"/>
      <c r="E728" s="280"/>
      <c r="F728" s="291" t="n">
        <v>0</v>
      </c>
      <c r="G728" s="292" t="n">
        <v>0</v>
      </c>
    </row>
    <row r="729" customFormat="false" ht="26.25" hidden="false" customHeight="true" outlineLevel="0" collapsed="false">
      <c r="A729" s="76"/>
      <c r="B729" s="280" t="s">
        <v>519</v>
      </c>
      <c r="C729" s="280"/>
      <c r="D729" s="280"/>
      <c r="E729" s="280"/>
      <c r="F729" s="291" t="n">
        <v>0</v>
      </c>
      <c r="G729" s="292" t="n">
        <v>0</v>
      </c>
    </row>
    <row r="730" customFormat="false" ht="56.25" hidden="false" customHeight="true" outlineLevel="0" collapsed="false">
      <c r="A730" s="76"/>
      <c r="B730" s="267" t="s">
        <v>520</v>
      </c>
      <c r="C730" s="267"/>
      <c r="D730" s="267"/>
      <c r="E730" s="267"/>
      <c r="F730" s="293" t="n">
        <v>0</v>
      </c>
      <c r="G730" s="282" t="n">
        <v>0</v>
      </c>
    </row>
    <row r="731" customFormat="false" ht="15.75" hidden="false" customHeight="true" outlineLevel="0" collapsed="false">
      <c r="A731" s="76"/>
      <c r="B731" s="33"/>
      <c r="C731" s="33"/>
      <c r="D731" s="14"/>
      <c r="E731" s="33"/>
      <c r="F731" s="33"/>
      <c r="G731" s="96"/>
    </row>
    <row r="732" customFormat="false" ht="15.75" hidden="false" customHeight="true" outlineLevel="0" collapsed="false">
      <c r="A732" s="294" t="n">
        <f aca="false">A722+1</f>
        <v>42</v>
      </c>
      <c r="B732" s="295" t="s">
        <v>521</v>
      </c>
      <c r="C732" s="295"/>
      <c r="D732" s="295"/>
      <c r="E732" s="295"/>
      <c r="F732" s="295"/>
      <c r="G732" s="295"/>
    </row>
    <row r="733" customFormat="false" ht="15.75" hidden="false" customHeight="true" outlineLevel="0" collapsed="false">
      <c r="A733" s="296" t="s">
        <v>522</v>
      </c>
      <c r="B733" s="297" t="s">
        <v>523</v>
      </c>
      <c r="C733" s="297"/>
      <c r="D733" s="297"/>
      <c r="E733" s="297"/>
      <c r="F733" s="297"/>
      <c r="G733" s="298"/>
    </row>
    <row r="734" customFormat="false" ht="15.75" hidden="false" customHeight="true" outlineLevel="0" collapsed="false">
      <c r="A734" s="296"/>
      <c r="B734" s="299" t="s">
        <v>524</v>
      </c>
      <c r="C734" s="299"/>
      <c r="D734" s="299"/>
      <c r="E734" s="299"/>
      <c r="F734" s="300" t="s">
        <v>497</v>
      </c>
      <c r="G734" s="301"/>
    </row>
    <row r="735" customFormat="false" ht="15.75" hidden="false" customHeight="true" outlineLevel="0" collapsed="false">
      <c r="A735" s="296"/>
      <c r="B735" s="302"/>
      <c r="C735" s="303"/>
      <c r="D735" s="303"/>
      <c r="E735" s="304"/>
      <c r="F735" s="302"/>
      <c r="G735" s="304"/>
    </row>
    <row r="736" customFormat="false" ht="15.75" hidden="false" customHeight="true" outlineLevel="0" collapsed="false">
      <c r="A736" s="296" t="s">
        <v>525</v>
      </c>
      <c r="B736" s="305" t="s">
        <v>526</v>
      </c>
      <c r="C736" s="305"/>
      <c r="D736" s="305"/>
      <c r="E736" s="305"/>
      <c r="F736" s="306" t="str">
        <f aca="false">+A52</f>
        <v>Shri Harshvardhan Bhatia</v>
      </c>
      <c r="G736" s="301"/>
    </row>
    <row r="737" customFormat="false" ht="15.75" hidden="false" customHeight="true" outlineLevel="0" collapsed="false">
      <c r="A737" s="296"/>
      <c r="B737" s="307"/>
      <c r="C737" s="308"/>
      <c r="D737" s="308"/>
      <c r="E737" s="309"/>
      <c r="F737" s="306" t="str">
        <f aca="false">+C52</f>
        <v>SMT Padmini Bhatia</v>
      </c>
      <c r="G737" s="310"/>
    </row>
    <row r="738" customFormat="false" ht="20.25" hidden="false" customHeight="true" outlineLevel="0" collapsed="false">
      <c r="A738" s="296"/>
      <c r="B738" s="302"/>
      <c r="C738" s="303"/>
      <c r="D738" s="303"/>
      <c r="E738" s="304"/>
      <c r="F738" s="311" t="s">
        <v>527</v>
      </c>
      <c r="G738" s="304"/>
    </row>
    <row r="739" customFormat="false" ht="32.25" hidden="false" customHeight="true" outlineLevel="0" collapsed="false">
      <c r="A739" s="296" t="s">
        <v>528</v>
      </c>
      <c r="B739" s="305" t="s">
        <v>529</v>
      </c>
      <c r="C739" s="305"/>
      <c r="D739" s="305"/>
      <c r="E739" s="305"/>
      <c r="F739" s="312"/>
      <c r="G739" s="301"/>
    </row>
    <row r="740" customFormat="false" ht="15" hidden="false" customHeight="true" outlineLevel="0" collapsed="false">
      <c r="A740" s="296"/>
      <c r="B740" s="313"/>
      <c r="C740" s="314"/>
      <c r="D740" s="314"/>
      <c r="E740" s="314"/>
      <c r="F740" s="315"/>
      <c r="G740" s="310"/>
    </row>
    <row r="741" customFormat="false" ht="14.25" hidden="false" customHeight="true" outlineLevel="0" collapsed="false">
      <c r="A741" s="296"/>
      <c r="B741" s="313"/>
      <c r="C741" s="314"/>
      <c r="D741" s="314"/>
      <c r="E741" s="314"/>
      <c r="F741" s="315"/>
      <c r="G741" s="310"/>
    </row>
    <row r="742" customFormat="false" ht="28.5" hidden="false" customHeight="true" outlineLevel="0" collapsed="false">
      <c r="A742" s="296" t="s">
        <v>530</v>
      </c>
      <c r="B742" s="316" t="s">
        <v>531</v>
      </c>
      <c r="C742" s="316"/>
      <c r="D742" s="316"/>
      <c r="E742" s="316"/>
      <c r="F742" s="306" t="s">
        <v>532</v>
      </c>
      <c r="G742" s="317"/>
    </row>
    <row r="743" customFormat="false" ht="15" hidden="false" customHeight="false" outlineLevel="0" collapsed="false">
      <c r="A743" s="296"/>
      <c r="B743" s="318"/>
      <c r="C743" s="319"/>
      <c r="D743" s="319"/>
      <c r="E743" s="317"/>
      <c r="F743" s="320" t="s">
        <v>533</v>
      </c>
      <c r="G743" s="317"/>
    </row>
    <row r="744" customFormat="false" ht="12.75" hidden="false" customHeight="true" outlineLevel="0" collapsed="false">
      <c r="A744" s="76"/>
      <c r="B744" s="3"/>
      <c r="C744" s="3"/>
      <c r="D744" s="3"/>
      <c r="E744" s="3"/>
      <c r="F744" s="3"/>
      <c r="G744" s="5"/>
    </row>
    <row r="745" customFormat="false" ht="16.5" hidden="false" customHeight="false" outlineLevel="0" collapsed="false">
      <c r="A745" s="296" t="s">
        <v>534</v>
      </c>
      <c r="B745" s="250" t="s">
        <v>535</v>
      </c>
      <c r="C745" s="250"/>
      <c r="D745" s="3"/>
      <c r="E745" s="3"/>
      <c r="F745" s="64"/>
      <c r="G745" s="321"/>
    </row>
    <row r="746" customFormat="false" ht="16.5" hidden="false" customHeight="false" outlineLevel="0" collapsed="false">
      <c r="A746" s="322"/>
      <c r="B746" s="323" t="s">
        <v>7</v>
      </c>
      <c r="C746" s="323"/>
      <c r="D746" s="323"/>
      <c r="E746" s="323"/>
      <c r="F746" s="324" t="str">
        <f aca="false">F722</f>
        <v>2024-25</v>
      </c>
      <c r="G746" s="325" t="str">
        <f aca="false">G722</f>
        <v>2023-24</v>
      </c>
    </row>
    <row r="747" customFormat="false" ht="12.75" hidden="false" customHeight="true" outlineLevel="0" collapsed="false">
      <c r="A747" s="322"/>
      <c r="B747" s="326"/>
      <c r="C747" s="327"/>
      <c r="D747" s="327"/>
      <c r="E747" s="327"/>
      <c r="F747" s="328"/>
      <c r="G747" s="329"/>
    </row>
    <row r="748" customFormat="false" ht="16.5" hidden="false" customHeight="false" outlineLevel="0" collapsed="false">
      <c r="A748" s="322" t="s">
        <v>536</v>
      </c>
      <c r="B748" s="330" t="s">
        <v>537</v>
      </c>
      <c r="C748" s="331"/>
      <c r="D748" s="327"/>
      <c r="E748" s="327"/>
      <c r="F748" s="306" t="n">
        <v>1300000</v>
      </c>
      <c r="G748" s="306" t="n">
        <v>0</v>
      </c>
    </row>
    <row r="749" customFormat="false" ht="16.5" hidden="false" customHeight="false" outlineLevel="0" collapsed="false">
      <c r="A749" s="322"/>
      <c r="B749" s="330"/>
      <c r="C749" s="331"/>
      <c r="D749" s="327"/>
      <c r="E749" s="327"/>
      <c r="F749" s="306"/>
      <c r="G749" s="332"/>
    </row>
    <row r="750" customFormat="false" ht="17.25" hidden="false" customHeight="true" outlineLevel="0" collapsed="false">
      <c r="A750" s="322" t="s">
        <v>538</v>
      </c>
      <c r="B750" s="330" t="s">
        <v>539</v>
      </c>
      <c r="C750" s="331"/>
      <c r="D750" s="327"/>
      <c r="E750" s="327"/>
      <c r="F750" s="306" t="s">
        <v>497</v>
      </c>
      <c r="G750" s="333" t="s">
        <v>497</v>
      </c>
    </row>
    <row r="751" customFormat="false" ht="16.5" hidden="false" customHeight="false" outlineLevel="0" collapsed="false">
      <c r="A751" s="322" t="s">
        <v>540</v>
      </c>
      <c r="B751" s="330" t="s">
        <v>541</v>
      </c>
      <c r="C751" s="331"/>
      <c r="D751" s="327"/>
      <c r="E751" s="327"/>
      <c r="F751" s="334" t="n">
        <f aca="false">F535</f>
        <v>660000</v>
      </c>
      <c r="G751" s="334" t="n">
        <f aca="false">G535</f>
        <v>660000</v>
      </c>
    </row>
    <row r="752" customFormat="false" ht="16.5" hidden="false" customHeight="false" outlineLevel="0" collapsed="false">
      <c r="A752" s="322" t="s">
        <v>542</v>
      </c>
      <c r="B752" s="330" t="s">
        <v>543</v>
      </c>
      <c r="C752" s="331"/>
      <c r="D752" s="327"/>
      <c r="E752" s="327"/>
      <c r="F752" s="40" t="n">
        <v>0</v>
      </c>
      <c r="G752" s="24" t="n">
        <v>0</v>
      </c>
    </row>
    <row r="753" customFormat="false" ht="16.5" hidden="false" customHeight="false" outlineLevel="0" collapsed="false">
      <c r="A753" s="322" t="s">
        <v>544</v>
      </c>
      <c r="B753" s="330" t="s">
        <v>545</v>
      </c>
      <c r="C753" s="331"/>
      <c r="D753" s="327"/>
      <c r="E753" s="327"/>
      <c r="F753" s="306" t="n">
        <v>0</v>
      </c>
      <c r="G753" s="333" t="n">
        <v>0</v>
      </c>
    </row>
    <row r="754" customFormat="false" ht="16.5" hidden="false" customHeight="false" outlineLevel="0" collapsed="false">
      <c r="A754" s="322" t="s">
        <v>546</v>
      </c>
      <c r="B754" s="330" t="s">
        <v>547</v>
      </c>
      <c r="C754" s="335"/>
      <c r="D754" s="335"/>
      <c r="E754" s="335"/>
      <c r="F754" s="336" t="n">
        <f aca="false">F573</f>
        <v>120000</v>
      </c>
      <c r="G754" s="336" t="n">
        <f aca="false">G573</f>
        <v>120000</v>
      </c>
    </row>
    <row r="755" customFormat="false" ht="16.5" hidden="false" customHeight="false" outlineLevel="0" collapsed="false">
      <c r="A755" s="322" t="s">
        <v>548</v>
      </c>
      <c r="B755" s="330" t="s">
        <v>549</v>
      </c>
      <c r="C755" s="331"/>
      <c r="D755" s="327"/>
      <c r="E755" s="327"/>
      <c r="F755" s="337"/>
      <c r="G755" s="338"/>
    </row>
    <row r="756" customFormat="false" ht="16.5" hidden="false" customHeight="false" outlineLevel="0" collapsed="false">
      <c r="A756" s="322"/>
      <c r="B756" s="339" t="s">
        <v>550</v>
      </c>
      <c r="C756" s="340"/>
      <c r="D756" s="335"/>
      <c r="E756" s="335"/>
      <c r="F756" s="306"/>
      <c r="G756" s="338"/>
    </row>
    <row r="757" customFormat="false" ht="16.5" hidden="false" customHeight="false" outlineLevel="0" collapsed="false">
      <c r="A757" s="322"/>
      <c r="B757" s="341" t="s">
        <v>55</v>
      </c>
      <c r="C757" s="335"/>
      <c r="D757" s="335"/>
      <c r="E757" s="335"/>
      <c r="F757" s="342" t="n">
        <v>16549748</v>
      </c>
      <c r="G757" s="343" t="n">
        <v>14869998</v>
      </c>
      <c r="H757" s="3" t="n">
        <f aca="false">+F757-G757</f>
        <v>1679750</v>
      </c>
      <c r="I757" s="3" t="n">
        <f aca="false">+F757-G757</f>
        <v>1679750</v>
      </c>
    </row>
    <row r="758" customFormat="false" ht="16.5" hidden="false" customHeight="false" outlineLevel="0" collapsed="false">
      <c r="A758" s="322"/>
      <c r="B758" s="341" t="s">
        <v>56</v>
      </c>
      <c r="C758" s="335"/>
      <c r="D758" s="335"/>
      <c r="E758" s="335"/>
      <c r="F758" s="342" t="n">
        <v>43077733</v>
      </c>
      <c r="G758" s="343" t="n">
        <v>39974233</v>
      </c>
      <c r="H758" s="3" t="n">
        <f aca="false">+F758-G758</f>
        <v>3103500</v>
      </c>
      <c r="I758" s="3" t="n">
        <f aca="false">+F758-G758</f>
        <v>3103500</v>
      </c>
    </row>
    <row r="759" customFormat="false" ht="16.5" hidden="false" customHeight="false" outlineLevel="0" collapsed="false">
      <c r="A759" s="322"/>
      <c r="B759" s="341" t="s">
        <v>551</v>
      </c>
      <c r="C759" s="335"/>
      <c r="D759" s="335"/>
      <c r="E759" s="335"/>
      <c r="F759" s="344" t="n">
        <v>0</v>
      </c>
      <c r="G759" s="345" t="n">
        <v>100000</v>
      </c>
      <c r="H759" s="3" t="n">
        <f aca="false">+F759-G759</f>
        <v>-100000</v>
      </c>
    </row>
    <row r="760" customFormat="false" ht="16.5" hidden="false" customHeight="false" outlineLevel="0" collapsed="false">
      <c r="A760" s="322"/>
      <c r="B760" s="341" t="s">
        <v>552</v>
      </c>
      <c r="C760" s="335"/>
      <c r="D760" s="335"/>
      <c r="E760" s="335"/>
      <c r="F760" s="344" t="n">
        <v>0</v>
      </c>
      <c r="G760" s="345" t="n">
        <v>1300000</v>
      </c>
      <c r="H760" s="3" t="n">
        <f aca="false">+F760-G760</f>
        <v>-1300000</v>
      </c>
    </row>
    <row r="761" customFormat="false" ht="16.5" hidden="false" customHeight="false" outlineLevel="0" collapsed="false">
      <c r="A761" s="322" t="s">
        <v>553</v>
      </c>
      <c r="B761" s="330" t="s">
        <v>554</v>
      </c>
      <c r="C761" s="346"/>
      <c r="D761" s="335"/>
      <c r="E761" s="335"/>
      <c r="F761" s="342"/>
      <c r="G761" s="338"/>
    </row>
    <row r="762" customFormat="false" ht="15" hidden="false" customHeight="false" outlineLevel="0" collapsed="false">
      <c r="A762" s="347"/>
      <c r="B762" s="348"/>
      <c r="C762" s="349"/>
      <c r="D762" s="350"/>
      <c r="E762" s="350"/>
      <c r="F762" s="351"/>
      <c r="G762" s="352"/>
    </row>
    <row r="763" customFormat="false" ht="7.5" hidden="false" customHeight="true" outlineLevel="0" collapsed="false">
      <c r="A763" s="347"/>
      <c r="B763" s="353"/>
      <c r="C763" s="353"/>
      <c r="D763" s="354"/>
      <c r="E763" s="354"/>
      <c r="F763" s="353"/>
      <c r="G763" s="355"/>
    </row>
    <row r="764" customFormat="false" ht="44.25" hidden="false" customHeight="true" outlineLevel="0" collapsed="false">
      <c r="A764" s="76" t="n">
        <f aca="false">A732+1</f>
        <v>43</v>
      </c>
      <c r="B764" s="96" t="s">
        <v>555</v>
      </c>
      <c r="C764" s="96"/>
      <c r="D764" s="96"/>
      <c r="E764" s="96"/>
      <c r="F764" s="96"/>
      <c r="G764" s="96"/>
    </row>
    <row r="765" customFormat="false" ht="15" hidden="false" customHeight="false" outlineLevel="0" collapsed="false">
      <c r="A765" s="76"/>
      <c r="B765" s="48"/>
      <c r="C765" s="48"/>
      <c r="D765" s="3"/>
      <c r="E765" s="3"/>
      <c r="F765" s="3"/>
      <c r="G765" s="3"/>
    </row>
    <row r="766" customFormat="false" ht="51" hidden="false" customHeight="true" outlineLevel="0" collapsed="false">
      <c r="A766" s="76" t="n">
        <f aca="false">A764+1</f>
        <v>44</v>
      </c>
      <c r="B766" s="356" t="s">
        <v>556</v>
      </c>
      <c r="C766" s="356"/>
      <c r="D766" s="356"/>
      <c r="E766" s="356"/>
      <c r="F766" s="356"/>
      <c r="G766" s="356"/>
    </row>
    <row r="767" customFormat="false" ht="15" hidden="false" customHeight="true" outlineLevel="0" collapsed="false">
      <c r="A767" s="357"/>
      <c r="B767" s="358"/>
      <c r="C767" s="213"/>
      <c r="D767" s="213"/>
      <c r="E767" s="213"/>
      <c r="F767" s="213"/>
      <c r="G767" s="358"/>
    </row>
    <row r="768" customFormat="false" ht="15" hidden="false" customHeight="false" outlineLevel="0" collapsed="false">
      <c r="A768" s="3"/>
      <c r="B768" s="76" t="str">
        <f aca="false">+A47</f>
        <v>See acompanying notes to the financial statements.</v>
      </c>
      <c r="C768" s="359"/>
      <c r="D768" s="5"/>
      <c r="E768" s="5"/>
      <c r="F768" s="100" t="str">
        <f aca="false">+F47</f>
        <v>As per our report of even date</v>
      </c>
      <c r="G768" s="43"/>
    </row>
    <row r="769" customFormat="false" ht="15" hidden="false" customHeight="false" outlineLevel="0" collapsed="false">
      <c r="A769" s="2"/>
      <c r="B769" s="76" t="str">
        <f aca="false">+A48</f>
        <v> </v>
      </c>
      <c r="C769" s="76"/>
      <c r="D769" s="360"/>
      <c r="E769" s="3"/>
      <c r="F769" s="48" t="str">
        <f aca="false">+F48</f>
        <v>For DILIP RATHOR AND CO.</v>
      </c>
      <c r="G769" s="361"/>
    </row>
    <row r="770" customFormat="false" ht="15" hidden="false" customHeight="false" outlineLevel="0" collapsed="false">
      <c r="A770" s="2"/>
      <c r="B770" s="76" t="str">
        <f aca="false">+A49</f>
        <v>For and on behalf of  the Board of Directors of  the Company.</v>
      </c>
      <c r="C770" s="76"/>
      <c r="D770" s="3"/>
      <c r="E770" s="360"/>
      <c r="F770" s="48" t="str">
        <f aca="false">+F49</f>
        <v>Chartered Accountants</v>
      </c>
      <c r="G770" s="361"/>
    </row>
    <row r="771" customFormat="false" ht="15" hidden="false" customHeight="false" outlineLevel="0" collapsed="false">
      <c r="A771" s="2"/>
      <c r="B771" s="76"/>
      <c r="C771" s="76"/>
      <c r="D771" s="3"/>
      <c r="E771" s="360"/>
      <c r="F771" s="48" t="str">
        <f aca="false">+F50</f>
        <v>Firm Reg. No.  : 011691 C</v>
      </c>
      <c r="G771" s="361"/>
    </row>
    <row r="772" customFormat="false" ht="15" hidden="false" customHeight="false" outlineLevel="0" collapsed="false">
      <c r="A772" s="2"/>
      <c r="B772" s="76"/>
      <c r="C772" s="76"/>
      <c r="D772" s="3"/>
      <c r="E772" s="360"/>
      <c r="F772" s="48"/>
      <c r="G772" s="361"/>
    </row>
    <row r="773" customFormat="false" ht="15" hidden="false" customHeight="false" outlineLevel="0" collapsed="false">
      <c r="A773" s="2"/>
      <c r="B773" s="76"/>
      <c r="C773" s="76"/>
      <c r="D773" s="3"/>
      <c r="E773" s="360"/>
      <c r="F773" s="48"/>
      <c r="G773" s="361"/>
    </row>
    <row r="774" customFormat="false" ht="15" hidden="false" customHeight="false" outlineLevel="0" collapsed="false">
      <c r="A774" s="29" t="str">
        <f aca="false">+A52</f>
        <v>Shri Harshvardhan Bhatia</v>
      </c>
      <c r="C774" s="362" t="str">
        <f aca="false">+C52</f>
        <v>SMT Padmini Bhatia</v>
      </c>
      <c r="E774" s="48"/>
      <c r="F774" s="48" t="str">
        <f aca="false">+F53</f>
        <v>DILIP RATHOR</v>
      </c>
      <c r="G774" s="361"/>
    </row>
    <row r="775" customFormat="false" ht="15" hidden="false" customHeight="false" outlineLevel="0" collapsed="false">
      <c r="A775" s="29" t="str">
        <f aca="false">+A53</f>
        <v>(DIRECTOR)</v>
      </c>
      <c r="C775" s="48" t="str">
        <f aca="false">+C53</f>
        <v>(DIRECTOR)</v>
      </c>
      <c r="E775" s="48"/>
      <c r="F775" s="48" t="str">
        <f aca="false">+F54</f>
        <v>(PROPRIETOR)</v>
      </c>
      <c r="G775" s="361"/>
    </row>
    <row r="776" customFormat="false" ht="15" hidden="false" customHeight="false" outlineLevel="0" collapsed="false">
      <c r="A776" s="29" t="str">
        <f aca="false">+A54</f>
        <v>(DIN : 03136236)</v>
      </c>
      <c r="C776" s="48" t="str">
        <f aca="false">+C54</f>
        <v>(DIN : 03136241)</v>
      </c>
      <c r="E776" s="48"/>
      <c r="F776" s="48"/>
      <c r="G776" s="361"/>
    </row>
    <row r="777" customFormat="false" ht="15" hidden="false" customHeight="false" outlineLevel="0" collapsed="false">
      <c r="A777" s="3"/>
      <c r="B777" s="76" t="s">
        <v>557</v>
      </c>
      <c r="C777" s="76"/>
      <c r="D777" s="3"/>
      <c r="E777" s="360"/>
      <c r="F777" s="48" t="str">
        <f aca="false">+F55</f>
        <v>M.No.  077973</v>
      </c>
      <c r="G777" s="361"/>
    </row>
    <row r="778" customFormat="false" ht="15" hidden="false" customHeight="false" outlineLevel="0" collapsed="false">
      <c r="A778" s="3" t="str">
        <f aca="false">A56</f>
        <v>Date: 07/09/2025</v>
      </c>
      <c r="B778" s="363"/>
      <c r="C778" s="357"/>
      <c r="D778" s="79"/>
      <c r="E778" s="364"/>
      <c r="F778" s="53" t="str">
        <f aca="false">+F56</f>
        <v>UDIN:  25077973BMLATD4385</v>
      </c>
      <c r="G778" s="365"/>
    </row>
    <row r="780" s="3" customFormat="true" ht="15" hidden="false" customHeight="false" outlineLevel="0" collapsed="false">
      <c r="A780" s="76"/>
    </row>
    <row r="781" s="3" customFormat="true" ht="15" hidden="false" customHeight="false" outlineLevel="0" collapsed="false">
      <c r="A781" s="76"/>
    </row>
  </sheetData>
  <mergeCells count="98">
    <mergeCell ref="A2:G2"/>
    <mergeCell ref="A3:G3"/>
    <mergeCell ref="A4:D4"/>
    <mergeCell ref="A5:G5"/>
    <mergeCell ref="A6:D6"/>
    <mergeCell ref="A8:D8"/>
    <mergeCell ref="A10:D10"/>
    <mergeCell ref="A15:D15"/>
    <mergeCell ref="A17:D17"/>
    <mergeCell ref="A21:D21"/>
    <mergeCell ref="B25:D25"/>
    <mergeCell ref="A30:D30"/>
    <mergeCell ref="A31:D31"/>
    <mergeCell ref="A38:D38"/>
    <mergeCell ref="A52:B52"/>
    <mergeCell ref="C52:D52"/>
    <mergeCell ref="A53:B53"/>
    <mergeCell ref="C53:D53"/>
    <mergeCell ref="A54:B54"/>
    <mergeCell ref="C54:D54"/>
    <mergeCell ref="A57:G57"/>
    <mergeCell ref="A58:G58"/>
    <mergeCell ref="A59:E59"/>
    <mergeCell ref="A60:G60"/>
    <mergeCell ref="A62:D62"/>
    <mergeCell ref="A63:D63"/>
    <mergeCell ref="A73:D73"/>
    <mergeCell ref="A108:G108"/>
    <mergeCell ref="A109:G109"/>
    <mergeCell ref="A110:E110"/>
    <mergeCell ref="A111:G111"/>
    <mergeCell ref="B142:E142"/>
    <mergeCell ref="B189:E189"/>
    <mergeCell ref="B193:B194"/>
    <mergeCell ref="D193:E193"/>
    <mergeCell ref="F193:G193"/>
    <mergeCell ref="B200:B201"/>
    <mergeCell ref="D200:E200"/>
    <mergeCell ref="F200:G200"/>
    <mergeCell ref="B207:G207"/>
    <mergeCell ref="B209:F209"/>
    <mergeCell ref="C210:D210"/>
    <mergeCell ref="E210:F210"/>
    <mergeCell ref="D220:E220"/>
    <mergeCell ref="D225:E225"/>
    <mergeCell ref="D231:E231"/>
    <mergeCell ref="F236:G236"/>
    <mergeCell ref="B256:C256"/>
    <mergeCell ref="B266:G266"/>
    <mergeCell ref="B267:G267"/>
    <mergeCell ref="B284:G284"/>
    <mergeCell ref="D298:G299"/>
    <mergeCell ref="D300:F300"/>
    <mergeCell ref="D306:G307"/>
    <mergeCell ref="D308:F308"/>
    <mergeCell ref="B427:E427"/>
    <mergeCell ref="B429:E429"/>
    <mergeCell ref="B613:G613"/>
    <mergeCell ref="B627:E627"/>
    <mergeCell ref="B632:G632"/>
    <mergeCell ref="B633:C633"/>
    <mergeCell ref="F636:G636"/>
    <mergeCell ref="B643:G643"/>
    <mergeCell ref="B649:G649"/>
    <mergeCell ref="B650:G650"/>
    <mergeCell ref="B651:G651"/>
    <mergeCell ref="B652:G652"/>
    <mergeCell ref="B656:G656"/>
    <mergeCell ref="B658:C658"/>
    <mergeCell ref="B665:C665"/>
    <mergeCell ref="B672:G672"/>
    <mergeCell ref="B673:G673"/>
    <mergeCell ref="B674:G674"/>
    <mergeCell ref="B675:G675"/>
    <mergeCell ref="B676:G676"/>
    <mergeCell ref="B677:G677"/>
    <mergeCell ref="B678:G678"/>
    <mergeCell ref="B680:G680"/>
    <mergeCell ref="B685:G685"/>
    <mergeCell ref="B697:G697"/>
    <mergeCell ref="D698:E698"/>
    <mergeCell ref="F698:G698"/>
    <mergeCell ref="B718:G718"/>
    <mergeCell ref="B720:G720"/>
    <mergeCell ref="B722:E722"/>
    <mergeCell ref="B725:E725"/>
    <mergeCell ref="B726:E726"/>
    <mergeCell ref="B727:E727"/>
    <mergeCell ref="B728:E728"/>
    <mergeCell ref="B729:E729"/>
    <mergeCell ref="B730:E730"/>
    <mergeCell ref="B734:E734"/>
    <mergeCell ref="B736:E736"/>
    <mergeCell ref="B739:E739"/>
    <mergeCell ref="B742:E742"/>
    <mergeCell ref="B746:E746"/>
    <mergeCell ref="B764:G764"/>
    <mergeCell ref="B766:G766"/>
  </mergeCells>
  <dataValidations count="1">
    <dataValidation allowBlank="true" errorStyle="stop" operator="between" showDropDown="false" showErrorMessage="true" showInputMessage="false" sqref="E11:G17 E18:E29 F19:G23 F26:G28 E30:G31 E32:E46 F37:G46" type="whole">
      <formula1>0</formula1>
      <formula2>9.99999999999999E+037</formula2>
    </dataValidation>
  </dataValidations>
  <printOptions headings="false" gridLines="false" gridLinesSet="true" horizontalCentered="true" verticalCentered="false"/>
  <pageMargins left="0.39375" right="0.196527777777778" top="0.196527777777778" bottom="0.196527777777778"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rowBreaks count="15" manualBreakCount="15">
    <brk id="56" man="true" max="16383" min="0"/>
    <brk id="107" man="true" max="16383" min="0"/>
    <brk id="170" man="true" max="16383" min="0"/>
    <brk id="215" man="true" max="16383" min="0"/>
    <brk id="262" man="true" max="16383" min="0"/>
    <brk id="313" man="true" max="16383" min="0"/>
    <brk id="383" man="true" max="16383" min="0"/>
    <brk id="431" man="true" max="16383" min="0"/>
    <brk id="482" man="true" max="16383" min="0"/>
    <brk id="531" man="true" max="16383" min="0"/>
    <brk id="592" man="true" max="16383" min="0"/>
    <brk id="642" man="true" max="16383" min="0"/>
    <brk id="671" man="true" max="16383" min="0"/>
    <brk id="717" man="true" max="16383" min="0"/>
    <brk id="744"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3.5" zeroHeight="false" outlineLevelRow="0" outlineLevelCol="0"/>
  <cols>
    <col collapsed="false" customWidth="true" hidden="false" outlineLevel="0" max="1" min="1" style="366" width="10.28"/>
    <col collapsed="false" customWidth="true" hidden="false" outlineLevel="0" max="2" min="2" style="366" width="11.56"/>
    <col collapsed="false" customWidth="true" hidden="false" outlineLevel="0" max="3" min="3" style="366" width="11.28"/>
    <col collapsed="false" customWidth="true" hidden="false" outlineLevel="0" max="4" min="4" style="366" width="12.85"/>
    <col collapsed="false" customWidth="true" hidden="false" outlineLevel="0" max="6" min="5" style="366" width="11.99"/>
    <col collapsed="false" customWidth="true" hidden="false" outlineLevel="0" max="7" min="7" style="366" width="11.85"/>
    <col collapsed="false" customWidth="true" hidden="false" outlineLevel="0" max="13" min="13" style="0" width="13.7"/>
  </cols>
  <sheetData>
    <row r="1" customFormat="false" ht="13.5" hidden="false" customHeight="false" outlineLevel="0" collapsed="false">
      <c r="H1" s="366"/>
    </row>
    <row r="2" customFormat="false" ht="13.5" hidden="false" customHeight="false" outlineLevel="0" collapsed="false">
      <c r="B2" s="366" t="s">
        <v>558</v>
      </c>
      <c r="G2" s="366" t="s">
        <v>559</v>
      </c>
      <c r="H2" s="366" t="s">
        <v>560</v>
      </c>
    </row>
    <row r="3" customFormat="false" ht="13.5" hidden="false" customHeight="false" outlineLevel="0" collapsed="false">
      <c r="B3" s="366" t="s">
        <v>561</v>
      </c>
      <c r="F3" s="366" t="s">
        <v>562</v>
      </c>
      <c r="G3" s="366" t="n">
        <f aca="false">2772741+12500+251770</f>
        <v>3037011</v>
      </c>
      <c r="H3" s="366" t="n">
        <v>8212446</v>
      </c>
    </row>
    <row r="4" customFormat="false" ht="13.5" hidden="false" customHeight="false" outlineLevel="0" collapsed="false">
      <c r="F4" s="366" t="s">
        <v>563</v>
      </c>
      <c r="G4" s="366" t="n">
        <v>408556</v>
      </c>
      <c r="H4" s="366" t="n">
        <v>6569947.29669719</v>
      </c>
      <c r="K4" s="0" t="s">
        <v>564</v>
      </c>
    </row>
    <row r="5" customFormat="false" ht="13.5" hidden="false" customHeight="false" outlineLevel="0" collapsed="false">
      <c r="B5" s="366" t="s">
        <v>565</v>
      </c>
      <c r="D5" s="366" t="n">
        <f aca="false">'Financial Stmt_As per SCH-III'!F80</f>
        <v>202475.510000005</v>
      </c>
      <c r="F5" s="366" t="s">
        <v>566</v>
      </c>
      <c r="G5" s="366" t="n">
        <f aca="false">+G3-G4</f>
        <v>2628455</v>
      </c>
      <c r="H5" s="366" t="n">
        <f aca="false">+H3-H4</f>
        <v>1642498.70330281</v>
      </c>
      <c r="J5" s="0" t="n">
        <f aca="false">+H5-G5</f>
        <v>-985956.296697191</v>
      </c>
      <c r="K5" s="0" t="n">
        <f aca="false">+J5*0.3</f>
        <v>-295786.889009157</v>
      </c>
    </row>
    <row r="6" customFormat="false" ht="13.5" hidden="false" customHeight="false" outlineLevel="0" collapsed="false">
      <c r="H6" s="366"/>
    </row>
    <row r="7" customFormat="false" ht="13.5" hidden="false" customHeight="false" outlineLevel="0" collapsed="false">
      <c r="B7" s="366" t="s">
        <v>567</v>
      </c>
      <c r="D7" s="366" t="n">
        <v>0</v>
      </c>
      <c r="H7" s="366"/>
    </row>
    <row r="8" customFormat="false" ht="13.5" hidden="false" customHeight="false" outlineLevel="0" collapsed="false">
      <c r="H8" s="366"/>
    </row>
    <row r="9" customFormat="false" ht="13.5" hidden="false" customHeight="false" outlineLevel="0" collapsed="false">
      <c r="B9" s="366" t="s">
        <v>568</v>
      </c>
      <c r="D9" s="366" t="n">
        <f aca="false">+D5-D7</f>
        <v>202475.510000005</v>
      </c>
    </row>
    <row r="11" customFormat="false" ht="13.5" hidden="false" customHeight="false" outlineLevel="0" collapsed="false">
      <c r="B11" s="366" t="s">
        <v>569</v>
      </c>
      <c r="D11" s="366" t="n">
        <f aca="false">IF(D9&gt;0,D9*0.15,0)</f>
        <v>30371.3265000008</v>
      </c>
    </row>
    <row r="12" customFormat="false" ht="13.5" hidden="false" customHeight="false" outlineLevel="0" collapsed="false">
      <c r="B12" s="366" t="s">
        <v>570</v>
      </c>
      <c r="D12" s="366" t="n">
        <v>0</v>
      </c>
    </row>
    <row r="13" customFormat="false" ht="13.5" hidden="false" customHeight="false" outlineLevel="0" collapsed="false">
      <c r="B13" s="366" t="s">
        <v>571</v>
      </c>
      <c r="D13" s="366" t="n">
        <f aca="false">+D11+D12</f>
        <v>30371.3265000008</v>
      </c>
    </row>
    <row r="15" customFormat="false" ht="13.5" hidden="false" customHeight="false" outlineLevel="0" collapsed="false">
      <c r="B15" s="366" t="s">
        <v>572</v>
      </c>
      <c r="D15" s="366" t="n">
        <f aca="false">+D13*0.04</f>
        <v>1214.85306000003</v>
      </c>
    </row>
    <row r="17" customFormat="false" ht="13.5" hidden="false" customHeight="false" outlineLevel="0" collapsed="false">
      <c r="B17" s="366" t="s">
        <v>573</v>
      </c>
      <c r="D17" s="366" t="n">
        <f aca="false">+D13+D15</f>
        <v>31586.1795600008</v>
      </c>
    </row>
    <row r="19" customFormat="false" ht="13.5" hidden="false" customHeight="false" outlineLevel="0" collapsed="false">
      <c r="B19" s="366" t="s">
        <v>574</v>
      </c>
      <c r="D19" s="366" t="n">
        <v>0</v>
      </c>
    </row>
    <row r="21" customFormat="false" ht="13.5" hidden="false" customHeight="false" outlineLevel="0" collapsed="false">
      <c r="B21" s="366" t="s">
        <v>575</v>
      </c>
      <c r="D21" s="366" t="n">
        <f aca="false">+D17-D19</f>
        <v>31586.1795600008</v>
      </c>
    </row>
    <row r="24" customFormat="false" ht="13.5" hidden="false" customHeight="false" outlineLevel="0" collapsed="false">
      <c r="I24" s="367"/>
      <c r="J24" s="367"/>
      <c r="K24" s="367"/>
      <c r="L24" s="367"/>
      <c r="M24" s="367"/>
      <c r="N24" s="367"/>
    </row>
    <row r="25" customFormat="false" ht="13.5" hidden="false" customHeight="false" outlineLevel="0" collapsed="false">
      <c r="I25" s="367"/>
      <c r="J25" s="367"/>
      <c r="K25" s="367"/>
      <c r="L25" s="367"/>
      <c r="M25" s="367"/>
      <c r="N25" s="367"/>
    </row>
    <row r="26" customFormat="false" ht="13.5" hidden="false" customHeight="false" outlineLevel="0" collapsed="false">
      <c r="A26" s="366" t="s">
        <v>576</v>
      </c>
      <c r="E26" s="368" t="n">
        <v>37570</v>
      </c>
      <c r="F26" s="368"/>
      <c r="G26" s="367" t="s">
        <v>564</v>
      </c>
      <c r="I26" s="367"/>
      <c r="J26" s="367"/>
      <c r="K26" s="367"/>
      <c r="L26" s="367"/>
      <c r="M26" s="367"/>
      <c r="N26" s="367"/>
    </row>
    <row r="27" customFormat="false" ht="13.5" hidden="false" customHeight="false" outlineLevel="0" collapsed="false">
      <c r="G27" s="367"/>
      <c r="I27" s="367"/>
      <c r="J27" s="367"/>
      <c r="K27" s="367"/>
      <c r="L27" s="367"/>
      <c r="M27" s="367"/>
      <c r="N27" s="367"/>
    </row>
    <row r="28" customFormat="false" ht="13.5" hidden="false" customHeight="false" outlineLevel="0" collapsed="false">
      <c r="B28" s="366" t="s">
        <v>577</v>
      </c>
      <c r="E28" s="369" t="n">
        <v>1843303.9</v>
      </c>
      <c r="F28" s="369"/>
      <c r="G28" s="370" t="n">
        <f aca="false">+G5</f>
        <v>2628455</v>
      </c>
      <c r="N28" s="367"/>
    </row>
    <row r="29" customFormat="false" ht="13.5" hidden="false" customHeight="false" outlineLevel="0" collapsed="false">
      <c r="B29" s="366" t="s">
        <v>578</v>
      </c>
      <c r="E29" s="369" t="n">
        <f aca="false">'Dep. SCH'!L26</f>
        <v>565757.97</v>
      </c>
      <c r="G29" s="370" t="n">
        <f aca="false">+H5</f>
        <v>1642498.70330281</v>
      </c>
      <c r="N29" s="367"/>
    </row>
    <row r="30" customFormat="false" ht="13.5" hidden="false" customHeight="false" outlineLevel="0" collapsed="false">
      <c r="G30" s="367"/>
      <c r="N30" s="367"/>
    </row>
    <row r="31" customFormat="false" ht="13.5" hidden="false" customHeight="false" outlineLevel="0" collapsed="false">
      <c r="B31" s="366" t="s">
        <v>579</v>
      </c>
      <c r="E31" s="369" t="n">
        <f aca="false">E29-E28</f>
        <v>-1277545.93</v>
      </c>
      <c r="F31" s="369"/>
      <c r="G31" s="370" t="n">
        <f aca="false">G29-G28</f>
        <v>-985956.296697191</v>
      </c>
      <c r="N31" s="367"/>
    </row>
    <row r="32" customFormat="false" ht="13.5" hidden="false" customHeight="false" outlineLevel="0" collapsed="false">
      <c r="G32" s="370"/>
      <c r="N32" s="367"/>
    </row>
    <row r="33" customFormat="false" ht="13.5" hidden="false" customHeight="false" outlineLevel="0" collapsed="false">
      <c r="B33" s="366" t="s">
        <v>580</v>
      </c>
      <c r="E33" s="369" t="n">
        <f aca="false">+E31*0.25</f>
        <v>-319386.4825</v>
      </c>
      <c r="G33" s="370" t="n">
        <f aca="false">+G31*0.25</f>
        <v>-246489.074174298</v>
      </c>
      <c r="N33" s="367"/>
    </row>
    <row r="34" customFormat="false" ht="13.5" hidden="false" customHeight="false" outlineLevel="0" collapsed="false">
      <c r="B34" s="366" t="s">
        <v>581</v>
      </c>
      <c r="E34" s="366" t="n">
        <v>0</v>
      </c>
      <c r="G34" s="367" t="n">
        <v>0</v>
      </c>
      <c r="N34" s="367"/>
    </row>
    <row r="35" customFormat="false" ht="13.5" hidden="false" customHeight="false" outlineLevel="0" collapsed="false">
      <c r="B35" s="366" t="s">
        <v>582</v>
      </c>
      <c r="E35" s="366" t="n">
        <f aca="false">+(E33+E34)*0.04</f>
        <v>-12775.4593</v>
      </c>
      <c r="G35" s="367" t="n">
        <f aca="false">+(G33+G34)*0.03</f>
        <v>-7394.67222522893</v>
      </c>
      <c r="N35" s="367"/>
    </row>
    <row r="36" customFormat="false" ht="13.5" hidden="false" customHeight="false" outlineLevel="0" collapsed="false">
      <c r="G36" s="367"/>
      <c r="N36" s="367"/>
    </row>
    <row r="37" customFormat="false" ht="13.5" hidden="false" customHeight="false" outlineLevel="0" collapsed="false">
      <c r="B37" s="366" t="s">
        <v>583</v>
      </c>
      <c r="E37" s="366" t="n">
        <f aca="false">SUM(E33:E36)</f>
        <v>-332161.9418</v>
      </c>
      <c r="G37" s="367" t="n">
        <f aca="false">SUM(G33:G36)</f>
        <v>-253883.746399527</v>
      </c>
      <c r="N37" s="367"/>
    </row>
    <row r="38" customFormat="false" ht="13.5" hidden="false" customHeight="false" outlineLevel="0" collapsed="false">
      <c r="G38" s="367"/>
      <c r="N38" s="367"/>
    </row>
    <row r="39" customFormat="false" ht="13.5" hidden="false" customHeight="false" outlineLevel="0" collapsed="false">
      <c r="B39" s="366" t="s">
        <v>584</v>
      </c>
      <c r="E39" s="366" t="n">
        <v>94596</v>
      </c>
      <c r="G39" s="367" t="n">
        <v>0</v>
      </c>
      <c r="N39" s="367"/>
    </row>
    <row r="40" customFormat="false" ht="13.5" hidden="false" customHeight="false" outlineLevel="0" collapsed="false">
      <c r="B40" s="366" t="s">
        <v>585</v>
      </c>
      <c r="E40" s="366" t="n">
        <f aca="false">+E39*0.25</f>
        <v>23649</v>
      </c>
      <c r="G40" s="367" t="n">
        <f aca="false">+G39*0.3</f>
        <v>0</v>
      </c>
      <c r="N40" s="367"/>
    </row>
    <row r="41" customFormat="false" ht="13.5" hidden="false" customHeight="false" outlineLevel="0" collapsed="false">
      <c r="B41" s="366" t="s">
        <v>586</v>
      </c>
      <c r="E41" s="366" t="n">
        <f aca="false">+E40*0.04</f>
        <v>945.96</v>
      </c>
      <c r="G41" s="367" t="n">
        <f aca="false">+G40*0.02</f>
        <v>0</v>
      </c>
    </row>
    <row r="42" customFormat="false" ht="13.5" hidden="false" customHeight="false" outlineLevel="0" collapsed="false">
      <c r="B42" s="366" t="s">
        <v>584</v>
      </c>
      <c r="E42" s="366" t="n">
        <f aca="false">+E40+E41</f>
        <v>24594.96</v>
      </c>
      <c r="G42" s="367" t="n">
        <f aca="false">+G40+G41</f>
        <v>0</v>
      </c>
    </row>
    <row r="43" customFormat="false" ht="13.5" hidden="false" customHeight="false" outlineLevel="0" collapsed="false">
      <c r="B43" s="366" t="s">
        <v>587</v>
      </c>
      <c r="E43" s="366" t="n">
        <f aca="false">+E37-E42</f>
        <v>-356756.9018</v>
      </c>
      <c r="G43" s="367" t="n">
        <f aca="false">+G37-G42</f>
        <v>-253883.746399527</v>
      </c>
    </row>
    <row r="44" customFormat="false" ht="13.5" hidden="false" customHeight="false" outlineLevel="0" collapsed="false">
      <c r="G44" s="367"/>
    </row>
    <row r="45" customFormat="false" ht="13.5" hidden="false" customHeight="false" outlineLevel="0" collapsed="false">
      <c r="B45" s="366" t="s">
        <v>588</v>
      </c>
      <c r="E45" s="366" t="n">
        <v>0</v>
      </c>
      <c r="F45" s="366" t="n">
        <v>130000</v>
      </c>
      <c r="G45" s="366" t="n">
        <v>253884</v>
      </c>
    </row>
    <row r="46" customFormat="false" ht="13.5" hidden="false" customHeight="false" outlineLevel="0" collapsed="false">
      <c r="F46" s="366" t="n">
        <f aca="false">+F45-E45</f>
        <v>130000</v>
      </c>
    </row>
    <row r="47" customFormat="false" ht="13.5" hidden="false" customHeight="false" outlineLevel="0" collapsed="false">
      <c r="B47" s="366" t="s">
        <v>589</v>
      </c>
      <c r="E47" s="366" t="n">
        <f aca="false">+E43-E45</f>
        <v>-356756.9018</v>
      </c>
    </row>
    <row r="51" customFormat="false" ht="13.5" hidden="false" customHeight="false" outlineLevel="0" collapsed="false">
      <c r="D51" s="366" t="s">
        <v>590</v>
      </c>
    </row>
    <row r="53" customFormat="false" ht="13.5" hidden="false" customHeight="false" outlineLevel="0" collapsed="false">
      <c r="A53" s="367"/>
      <c r="B53" s="367" t="s">
        <v>591</v>
      </c>
      <c r="C53" s="367"/>
      <c r="D53" s="367"/>
      <c r="E53" s="367" t="n">
        <f aca="false">+'Financial Stmt_As per SCH-III'!F90</f>
        <v>170475.510000005</v>
      </c>
    </row>
    <row r="54" customFormat="false" ht="13.5" hidden="false" customHeight="false" outlineLevel="0" collapsed="false">
      <c r="A54" s="367" t="s">
        <v>592</v>
      </c>
      <c r="B54" s="367" t="s">
        <v>593</v>
      </c>
      <c r="C54" s="367"/>
      <c r="D54" s="367"/>
      <c r="E54" s="370" t="n">
        <f aca="false">+'Dep. SCH'!I26</f>
        <v>80163.58</v>
      </c>
    </row>
    <row r="55" customFormat="false" ht="13.5" hidden="false" customHeight="false" outlineLevel="0" collapsed="false">
      <c r="A55" s="367"/>
      <c r="B55" s="367"/>
      <c r="C55" s="367"/>
      <c r="D55" s="367"/>
      <c r="E55" s="367"/>
    </row>
    <row r="56" customFormat="false" ht="13.5" hidden="false" customHeight="false" outlineLevel="0" collapsed="false">
      <c r="A56" s="367"/>
      <c r="B56" s="367"/>
      <c r="C56" s="367"/>
      <c r="D56" s="367"/>
      <c r="E56" s="367"/>
    </row>
    <row r="57" customFormat="false" ht="13.5" hidden="false" customHeight="false" outlineLevel="0" collapsed="false">
      <c r="A57" s="367"/>
      <c r="B57" s="367"/>
      <c r="C57" s="367"/>
      <c r="D57" s="367"/>
      <c r="E57" s="367" t="n">
        <f aca="false">+E53+E54</f>
        <v>250639.090000005</v>
      </c>
    </row>
    <row r="58" customFormat="false" ht="13.5" hidden="false" customHeight="false" outlineLevel="0" collapsed="false">
      <c r="A58" s="367" t="s">
        <v>594</v>
      </c>
      <c r="B58" s="367" t="s">
        <v>595</v>
      </c>
      <c r="C58" s="367"/>
      <c r="D58" s="367"/>
      <c r="E58" s="367" t="n">
        <v>389673</v>
      </c>
    </row>
    <row r="59" customFormat="false" ht="13.5" hidden="false" customHeight="false" outlineLevel="0" collapsed="false">
      <c r="A59" s="367"/>
      <c r="B59" s="367" t="s">
        <v>596</v>
      </c>
      <c r="C59" s="367"/>
      <c r="D59" s="367"/>
      <c r="E59" s="367" t="n">
        <v>60695</v>
      </c>
    </row>
    <row r="60" customFormat="false" ht="13.5" hidden="false" customHeight="false" outlineLevel="0" collapsed="false">
      <c r="A60" s="367"/>
      <c r="B60" s="367" t="s">
        <v>597</v>
      </c>
      <c r="C60" s="367"/>
      <c r="D60" s="367"/>
      <c r="E60" s="367" t="n">
        <f aca="false">+E57-E58-E59</f>
        <v>-199728.909999995</v>
      </c>
    </row>
    <row r="61" customFormat="false" ht="13.5" hidden="false" customHeight="false" outlineLevel="0" collapsed="false">
      <c r="A61" s="367"/>
      <c r="B61" s="367"/>
      <c r="C61" s="367"/>
      <c r="D61" s="367"/>
      <c r="E61" s="367"/>
    </row>
    <row r="62" customFormat="false" ht="13.5" hidden="false" customHeight="false" outlineLevel="0" collapsed="false">
      <c r="A62" s="367"/>
      <c r="B62" s="367" t="s">
        <v>598</v>
      </c>
      <c r="C62" s="367"/>
      <c r="D62" s="367"/>
      <c r="E62" s="367" t="n">
        <f aca="false">+E60*0.25</f>
        <v>-49932.2274999987</v>
      </c>
    </row>
    <row r="63" customFormat="false" ht="13.5" hidden="false" customHeight="false" outlineLevel="0" collapsed="false">
      <c r="A63" s="367"/>
      <c r="B63" s="367" t="s">
        <v>599</v>
      </c>
      <c r="C63" s="367"/>
      <c r="D63" s="367"/>
      <c r="E63" s="367" t="n">
        <f aca="false">+E62*0.04</f>
        <v>-1997.28909999995</v>
      </c>
    </row>
    <row r="64" customFormat="false" ht="13.5" hidden="false" customHeight="false" outlineLevel="0" collapsed="false">
      <c r="A64" s="367"/>
      <c r="B64" s="367" t="s">
        <v>600</v>
      </c>
      <c r="C64" s="367"/>
      <c r="D64" s="367"/>
      <c r="E64" s="367" t="n">
        <f aca="false">+E62+E63</f>
        <v>-51929.5165999986</v>
      </c>
    </row>
    <row r="65" customFormat="false" ht="13.5" hidden="false" customHeight="false" outlineLevel="0" collapsed="false">
      <c r="A65" s="367"/>
      <c r="B65" s="367"/>
      <c r="C65" s="367"/>
      <c r="D65" s="367"/>
      <c r="E65" s="36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3"/>
  <sheetViews>
    <sheetView showFormulas="false" showGridLines="true" showRowColHeaders="true" showZeros="true" rightToLeft="false" tabSelected="false" showOutlineSymbols="true" defaultGridColor="true" view="pageBreakPreview" topLeftCell="A9" colorId="64" zoomScale="100" zoomScaleNormal="100" zoomScalePageLayoutView="100" workbookViewId="0">
      <selection pane="topLeft" activeCell="L32" activeCellId="0" sqref="L32"/>
    </sheetView>
  </sheetViews>
  <sheetFormatPr defaultColWidth="9.13671875" defaultRowHeight="12.75" zeroHeight="false" outlineLevelRow="0" outlineLevelCol="0"/>
  <cols>
    <col collapsed="false" customWidth="true" hidden="false" outlineLevel="0" max="1" min="1" style="371" width="15.13"/>
    <col collapsed="false" customWidth="true" hidden="false" outlineLevel="0" max="2" min="2" style="371" width="25.56"/>
    <col collapsed="false" customWidth="true" hidden="false" outlineLevel="0" max="3" min="3" style="372" width="12.85"/>
    <col collapsed="false" customWidth="true" hidden="false" outlineLevel="0" max="4" min="4" style="372" width="13.14"/>
    <col collapsed="false" customWidth="true" hidden="false" outlineLevel="0" max="5" min="5" style="372" width="10.99"/>
    <col collapsed="false" customWidth="true" hidden="false" outlineLevel="0" max="6" min="6" style="372" width="12.28"/>
    <col collapsed="false" customWidth="true" hidden="false" outlineLevel="0" max="7" min="7" style="372" width="12.14"/>
    <col collapsed="false" customWidth="true" hidden="false" outlineLevel="0" max="8" min="8" style="372" width="10.85"/>
    <col collapsed="false" customWidth="true" hidden="false" outlineLevel="0" max="9" min="9" style="372" width="9.85"/>
    <col collapsed="false" customWidth="true" hidden="false" outlineLevel="0" max="10" min="10" style="372" width="9.28"/>
    <col collapsed="false" customWidth="true" hidden="false" outlineLevel="0" max="11" min="11" style="372" width="13.99"/>
    <col collapsed="false" customWidth="true" hidden="false" outlineLevel="0" max="12" min="12" style="372" width="14.14"/>
    <col collapsed="false" customWidth="true" hidden="false" outlineLevel="0" max="13" min="13" style="372" width="11.56"/>
    <col collapsed="false" customWidth="false" hidden="false" outlineLevel="0" max="257" min="14" style="371" width="9.14"/>
  </cols>
  <sheetData>
    <row r="1" customFormat="false" ht="15" hidden="false" customHeight="false" outlineLevel="0" collapsed="false">
      <c r="A1" s="373"/>
      <c r="B1" s="374"/>
      <c r="C1" s="374"/>
      <c r="D1" s="374"/>
      <c r="E1" s="374"/>
      <c r="F1" s="374"/>
      <c r="G1" s="374"/>
      <c r="H1" s="374"/>
      <c r="I1" s="374"/>
      <c r="J1" s="374"/>
      <c r="K1" s="374"/>
      <c r="L1" s="374"/>
      <c r="M1" s="374"/>
    </row>
    <row r="2" customFormat="false" ht="13.5" hidden="false" customHeight="false" outlineLevel="0" collapsed="false">
      <c r="A2" s="375" t="str">
        <f aca="false">'Financial Stmt_As per SCH-III'!A2</f>
        <v>HI DIAMONDS PVT. LTD.</v>
      </c>
      <c r="B2" s="376"/>
      <c r="C2" s="376"/>
      <c r="D2" s="376"/>
      <c r="E2" s="376"/>
      <c r="F2" s="376"/>
      <c r="G2" s="376"/>
      <c r="H2" s="376"/>
      <c r="I2" s="376"/>
      <c r="J2" s="376"/>
      <c r="K2" s="376"/>
      <c r="L2" s="376"/>
      <c r="M2" s="376"/>
    </row>
    <row r="3" customFormat="false" ht="15" hidden="false" customHeight="false" outlineLevel="0" collapsed="false">
      <c r="A3" s="377" t="n">
        <f aca="false">+'Financial Stmt_As per SCH-III'!E32</f>
        <v>11</v>
      </c>
      <c r="B3" s="378" t="s">
        <v>601</v>
      </c>
      <c r="C3" s="379" t="s">
        <v>602</v>
      </c>
      <c r="D3" s="379"/>
      <c r="E3" s="379"/>
      <c r="F3" s="379"/>
      <c r="G3" s="379"/>
      <c r="H3" s="380" t="s">
        <v>603</v>
      </c>
      <c r="I3" s="380"/>
      <c r="J3" s="380"/>
      <c r="K3" s="380"/>
      <c r="L3" s="379" t="s">
        <v>604</v>
      </c>
      <c r="M3" s="379"/>
    </row>
    <row r="4" customFormat="false" ht="15" hidden="false" customHeight="true" outlineLevel="0" collapsed="false">
      <c r="A4" s="381" t="s">
        <v>605</v>
      </c>
      <c r="B4" s="382"/>
      <c r="C4" s="383" t="s">
        <v>606</v>
      </c>
      <c r="D4" s="384" t="s">
        <v>607</v>
      </c>
      <c r="E4" s="385" t="s">
        <v>464</v>
      </c>
      <c r="F4" s="385" t="s">
        <v>608</v>
      </c>
      <c r="G4" s="384" t="s">
        <v>606</v>
      </c>
      <c r="H4" s="383" t="s">
        <v>609</v>
      </c>
      <c r="I4" s="384" t="s">
        <v>610</v>
      </c>
      <c r="J4" s="383" t="s">
        <v>611</v>
      </c>
      <c r="K4" s="383" t="s">
        <v>612</v>
      </c>
      <c r="L4" s="383" t="s">
        <v>606</v>
      </c>
      <c r="M4" s="383" t="s">
        <v>606</v>
      </c>
    </row>
    <row r="5" s="391" customFormat="true" ht="15" hidden="false" customHeight="true" outlineLevel="0" collapsed="false">
      <c r="A5" s="386"/>
      <c r="B5" s="387"/>
      <c r="C5" s="388" t="s">
        <v>613</v>
      </c>
      <c r="D5" s="389"/>
      <c r="E5" s="385"/>
      <c r="F5" s="385"/>
      <c r="G5" s="389" t="s">
        <v>614</v>
      </c>
      <c r="H5" s="388" t="str">
        <f aca="false">C5</f>
        <v>01.04.2024</v>
      </c>
      <c r="I5" s="389" t="s">
        <v>615</v>
      </c>
      <c r="J5" s="388"/>
      <c r="K5" s="388" t="str">
        <f aca="false">G5</f>
        <v>31.03.2025</v>
      </c>
      <c r="L5" s="390" t="str">
        <f aca="false">G5</f>
        <v>31.03.2025</v>
      </c>
      <c r="M5" s="390" t="str">
        <f aca="false">C5</f>
        <v>01.04.2024</v>
      </c>
    </row>
    <row r="6" customFormat="false" ht="15" hidden="false" customHeight="true" outlineLevel="0" collapsed="false">
      <c r="A6" s="392"/>
      <c r="B6" s="393"/>
      <c r="C6" s="394"/>
      <c r="D6" s="395"/>
      <c r="E6" s="396"/>
      <c r="F6" s="396"/>
      <c r="G6" s="394"/>
      <c r="H6" s="394"/>
      <c r="I6" s="395"/>
      <c r="J6" s="395"/>
      <c r="K6" s="394"/>
      <c r="L6" s="395"/>
      <c r="M6" s="395"/>
    </row>
    <row r="7" customFormat="false" ht="13.5" hidden="false" customHeight="true" outlineLevel="0" collapsed="false">
      <c r="A7" s="375" t="s">
        <v>616</v>
      </c>
      <c r="B7" s="397"/>
      <c r="C7" s="398" t="n">
        <v>0</v>
      </c>
      <c r="D7" s="399" t="n">
        <v>0</v>
      </c>
      <c r="E7" s="399" t="n">
        <v>0</v>
      </c>
      <c r="F7" s="399" t="n">
        <v>0</v>
      </c>
      <c r="G7" s="398" t="n">
        <f aca="false">+C7+D7-E7-F7</f>
        <v>0</v>
      </c>
      <c r="H7" s="400" t="n">
        <v>0</v>
      </c>
      <c r="I7" s="399" t="n">
        <v>0</v>
      </c>
      <c r="J7" s="399" t="n">
        <v>0</v>
      </c>
      <c r="K7" s="400" t="n">
        <f aca="false">H7+I7-J7</f>
        <v>0</v>
      </c>
      <c r="L7" s="400" t="n">
        <f aca="false">+G7-K7</f>
        <v>0</v>
      </c>
      <c r="M7" s="398" t="n">
        <f aca="false">+C7-H7</f>
        <v>0</v>
      </c>
    </row>
    <row r="8" customFormat="false" ht="15" hidden="false" customHeight="false" outlineLevel="0" collapsed="false">
      <c r="A8" s="401" t="s">
        <v>617</v>
      </c>
      <c r="B8" s="397"/>
      <c r="C8" s="399"/>
      <c r="D8" s="399"/>
      <c r="E8" s="399"/>
      <c r="F8" s="399"/>
      <c r="G8" s="399"/>
      <c r="H8" s="400"/>
      <c r="I8" s="399"/>
      <c r="J8" s="399"/>
      <c r="K8" s="400"/>
      <c r="L8" s="400"/>
      <c r="M8" s="399"/>
    </row>
    <row r="9" customFormat="false" ht="13.5" hidden="false" customHeight="false" outlineLevel="0" collapsed="false">
      <c r="A9" s="375" t="s">
        <v>618</v>
      </c>
      <c r="B9" s="397"/>
      <c r="C9" s="398" t="n">
        <v>0</v>
      </c>
      <c r="D9" s="398" t="n">
        <v>0</v>
      </c>
      <c r="E9" s="398" t="n">
        <v>0</v>
      </c>
      <c r="F9" s="398" t="n">
        <v>0</v>
      </c>
      <c r="G9" s="398" t="n">
        <f aca="false">+C9+D9-E9-F9</f>
        <v>0</v>
      </c>
      <c r="H9" s="398" t="n">
        <v>0</v>
      </c>
      <c r="I9" s="398" t="n">
        <v>0</v>
      </c>
      <c r="J9" s="398" t="n">
        <v>0</v>
      </c>
      <c r="K9" s="398" t="n">
        <f aca="false">H9+I9-J9</f>
        <v>0</v>
      </c>
      <c r="L9" s="398" t="n">
        <f aca="false">+G9-K9</f>
        <v>0</v>
      </c>
      <c r="M9" s="402" t="n">
        <f aca="false">+C9-H9</f>
        <v>0</v>
      </c>
    </row>
    <row r="10" customFormat="false" ht="13.5" hidden="false" customHeight="true" outlineLevel="0" collapsed="false">
      <c r="A10" s="403" t="s">
        <v>619</v>
      </c>
      <c r="B10" s="403"/>
      <c r="C10" s="398" t="n">
        <v>111931</v>
      </c>
      <c r="D10" s="398" t="n">
        <v>0</v>
      </c>
      <c r="E10" s="398" t="n">
        <v>0</v>
      </c>
      <c r="F10" s="398" t="n">
        <v>0</v>
      </c>
      <c r="G10" s="398" t="n">
        <f aca="false">+C10+D10-E10-F10</f>
        <v>111931</v>
      </c>
      <c r="H10" s="398" t="n">
        <v>44571</v>
      </c>
      <c r="I10" s="398" t="n">
        <v>3464.62</v>
      </c>
      <c r="J10" s="398" t="n">
        <v>0</v>
      </c>
      <c r="K10" s="398" t="n">
        <f aca="false">H10+I10-J10</f>
        <v>48035.62</v>
      </c>
      <c r="L10" s="398" t="n">
        <f aca="false">+G10-K10</f>
        <v>63895.38</v>
      </c>
      <c r="M10" s="402" t="n">
        <f aca="false">+C10-H10</f>
        <v>67360</v>
      </c>
    </row>
    <row r="11" customFormat="false" ht="13.5" hidden="false" customHeight="true" outlineLevel="0" collapsed="false">
      <c r="A11" s="403" t="s">
        <v>620</v>
      </c>
      <c r="B11" s="403"/>
      <c r="C11" s="398" t="n">
        <v>0</v>
      </c>
      <c r="D11" s="398" t="n">
        <v>0</v>
      </c>
      <c r="E11" s="398" t="n">
        <v>0</v>
      </c>
      <c r="F11" s="398" t="n">
        <v>0</v>
      </c>
      <c r="G11" s="398" t="n">
        <f aca="false">+C11+D11-E11-F11</f>
        <v>0</v>
      </c>
      <c r="H11" s="398" t="n">
        <v>0</v>
      </c>
      <c r="I11" s="398" t="n">
        <v>0</v>
      </c>
      <c r="J11" s="398" t="n">
        <v>0</v>
      </c>
      <c r="K11" s="398" t="n">
        <f aca="false">H11+I11-J11</f>
        <v>0</v>
      </c>
      <c r="L11" s="398" t="n">
        <f aca="false">+G11-K11</f>
        <v>0</v>
      </c>
      <c r="M11" s="402" t="n">
        <f aca="false">+C11-H11</f>
        <v>0</v>
      </c>
    </row>
    <row r="12" customFormat="false" ht="15" hidden="false" customHeight="false" outlineLevel="0" collapsed="false">
      <c r="A12" s="401" t="s">
        <v>621</v>
      </c>
      <c r="B12" s="397"/>
      <c r="C12" s="398"/>
      <c r="D12" s="398"/>
      <c r="E12" s="398"/>
      <c r="F12" s="398"/>
      <c r="G12" s="398"/>
      <c r="H12" s="398"/>
      <c r="I12" s="398"/>
      <c r="J12" s="398"/>
      <c r="K12" s="398"/>
      <c r="L12" s="398"/>
      <c r="M12" s="402"/>
    </row>
    <row r="13" customFormat="false" ht="13.5" hidden="false" customHeight="false" outlineLevel="0" collapsed="false">
      <c r="A13" s="375" t="s">
        <v>622</v>
      </c>
      <c r="B13" s="397"/>
      <c r="C13" s="398" t="n">
        <v>0</v>
      </c>
      <c r="D13" s="398" t="n">
        <v>0</v>
      </c>
      <c r="E13" s="398" t="n">
        <v>0</v>
      </c>
      <c r="F13" s="398" t="n">
        <v>0</v>
      </c>
      <c r="G13" s="398" t="n">
        <f aca="false">+C13+D13-E13-F13</f>
        <v>0</v>
      </c>
      <c r="H13" s="398" t="n">
        <v>0</v>
      </c>
      <c r="I13" s="398" t="n">
        <v>0</v>
      </c>
      <c r="J13" s="398" t="n">
        <v>0</v>
      </c>
      <c r="K13" s="398" t="n">
        <f aca="false">H13+I13-J13</f>
        <v>0</v>
      </c>
      <c r="L13" s="398" t="n">
        <f aca="false">+G13-K13</f>
        <v>0</v>
      </c>
      <c r="M13" s="402" t="n">
        <f aca="false">+C13-H13</f>
        <v>0</v>
      </c>
    </row>
    <row r="14" customFormat="false" ht="13.5" hidden="false" customHeight="true" outlineLevel="0" collapsed="false">
      <c r="A14" s="375" t="s">
        <v>623</v>
      </c>
      <c r="B14" s="397"/>
      <c r="C14" s="398" t="n">
        <v>0</v>
      </c>
      <c r="D14" s="398" t="n">
        <v>0</v>
      </c>
      <c r="E14" s="398" t="n">
        <v>0</v>
      </c>
      <c r="F14" s="398" t="n">
        <v>0</v>
      </c>
      <c r="G14" s="398" t="n">
        <v>0</v>
      </c>
      <c r="H14" s="398" t="n">
        <v>0</v>
      </c>
      <c r="I14" s="398" t="n">
        <v>0</v>
      </c>
      <c r="J14" s="398" t="n">
        <v>0</v>
      </c>
      <c r="K14" s="398" t="n">
        <f aca="false">H14+I14-J14</f>
        <v>0</v>
      </c>
      <c r="L14" s="398" t="n">
        <f aca="false">+G14-K14</f>
        <v>0</v>
      </c>
      <c r="M14" s="402" t="n">
        <f aca="false">+C14-H14</f>
        <v>0</v>
      </c>
    </row>
    <row r="15" customFormat="false" ht="13.5" hidden="true" customHeight="false" outlineLevel="0" collapsed="false">
      <c r="A15" s="375" t="s">
        <v>624</v>
      </c>
      <c r="B15" s="397"/>
      <c r="C15" s="398"/>
      <c r="D15" s="398"/>
      <c r="E15" s="398"/>
      <c r="F15" s="398"/>
      <c r="G15" s="398"/>
      <c r="H15" s="398"/>
      <c r="I15" s="398"/>
      <c r="J15" s="398"/>
      <c r="K15" s="398"/>
      <c r="L15" s="398"/>
      <c r="M15" s="402"/>
    </row>
    <row r="16" customFormat="false" ht="13.5" hidden="false" customHeight="true" outlineLevel="0" collapsed="false">
      <c r="A16" s="375" t="s">
        <v>625</v>
      </c>
      <c r="B16" s="397"/>
      <c r="C16" s="398" t="n">
        <v>747283</v>
      </c>
      <c r="D16" s="398" t="n">
        <v>0</v>
      </c>
      <c r="E16" s="398" t="n">
        <v>0</v>
      </c>
      <c r="F16" s="398" t="n">
        <v>0</v>
      </c>
      <c r="G16" s="398" t="n">
        <f aca="false">+C16+D16-E16-F16</f>
        <v>747283</v>
      </c>
      <c r="H16" s="398" t="n">
        <v>620689</v>
      </c>
      <c r="I16" s="398" t="n">
        <v>54191.59</v>
      </c>
      <c r="J16" s="398" t="n">
        <v>0</v>
      </c>
      <c r="K16" s="398" t="n">
        <f aca="false">H16+I16-J16</f>
        <v>674880.59</v>
      </c>
      <c r="L16" s="398" t="n">
        <f aca="false">+G16-K16</f>
        <v>72402.41</v>
      </c>
      <c r="M16" s="402" t="n">
        <f aca="false">+C16-H16</f>
        <v>126594</v>
      </c>
    </row>
    <row r="17" customFormat="false" ht="13.5" hidden="true" customHeight="false" outlineLevel="0" collapsed="false">
      <c r="A17" s="375" t="s">
        <v>626</v>
      </c>
      <c r="B17" s="397"/>
      <c r="C17" s="398"/>
      <c r="D17" s="398"/>
      <c r="E17" s="398"/>
      <c r="F17" s="398"/>
      <c r="G17" s="398"/>
      <c r="H17" s="398"/>
      <c r="I17" s="398"/>
      <c r="J17" s="398"/>
      <c r="K17" s="398"/>
      <c r="L17" s="398"/>
      <c r="M17" s="402"/>
    </row>
    <row r="18" customFormat="false" ht="15" hidden="false" customHeight="false" outlineLevel="0" collapsed="false">
      <c r="A18" s="401" t="s">
        <v>627</v>
      </c>
      <c r="B18" s="397"/>
      <c r="C18" s="398"/>
      <c r="D18" s="398"/>
      <c r="E18" s="398"/>
      <c r="F18" s="398"/>
      <c r="G18" s="398"/>
      <c r="H18" s="398"/>
      <c r="I18" s="398"/>
      <c r="J18" s="398"/>
      <c r="K18" s="398"/>
      <c r="L18" s="398"/>
      <c r="M18" s="402"/>
    </row>
    <row r="19" customFormat="false" ht="13.5" hidden="false" customHeight="false" outlineLevel="0" collapsed="false">
      <c r="A19" s="375" t="s">
        <v>628</v>
      </c>
      <c r="B19" s="397"/>
      <c r="C19" s="398" t="n">
        <v>1426601</v>
      </c>
      <c r="D19" s="398" t="n">
        <v>0</v>
      </c>
      <c r="E19" s="398" t="n">
        <v>0</v>
      </c>
      <c r="F19" s="398" t="n">
        <v>0</v>
      </c>
      <c r="G19" s="398" t="n">
        <f aca="false">+C19+D19-E19-F19</f>
        <v>1426601</v>
      </c>
      <c r="H19" s="398" t="n">
        <v>1355270</v>
      </c>
      <c r="I19" s="398" t="n">
        <v>0</v>
      </c>
      <c r="J19" s="398" t="n">
        <v>0</v>
      </c>
      <c r="K19" s="398" t="n">
        <f aca="false">H19+I19-J19</f>
        <v>1355270</v>
      </c>
      <c r="L19" s="398" t="n">
        <f aca="false">+G19-K19</f>
        <v>71331</v>
      </c>
      <c r="M19" s="402" t="n">
        <f aca="false">+C19-H19</f>
        <v>71331</v>
      </c>
    </row>
    <row r="20" customFormat="false" ht="15" hidden="false" customHeight="false" outlineLevel="0" collapsed="false">
      <c r="A20" s="401" t="s">
        <v>629</v>
      </c>
      <c r="B20" s="397"/>
      <c r="C20" s="398"/>
      <c r="D20" s="398"/>
      <c r="E20" s="398"/>
      <c r="F20" s="398"/>
      <c r="G20" s="398"/>
      <c r="H20" s="398"/>
      <c r="I20" s="398"/>
      <c r="J20" s="398"/>
      <c r="K20" s="398"/>
      <c r="L20" s="398"/>
      <c r="M20" s="402"/>
    </row>
    <row r="21" customFormat="false" ht="13.5" hidden="false" customHeight="false" outlineLevel="0" collapsed="false">
      <c r="A21" s="375" t="s">
        <v>630</v>
      </c>
      <c r="B21" s="397"/>
      <c r="C21" s="398" t="n">
        <v>5290419</v>
      </c>
      <c r="D21" s="398" t="n">
        <v>0</v>
      </c>
      <c r="E21" s="398" t="n">
        <v>0</v>
      </c>
      <c r="F21" s="398" t="n">
        <v>0</v>
      </c>
      <c r="G21" s="398" t="n">
        <f aca="false">+C21+D21-E21-F21</f>
        <v>5290419</v>
      </c>
      <c r="H21" s="398" t="n">
        <v>5025896</v>
      </c>
      <c r="I21" s="398" t="n">
        <v>0</v>
      </c>
      <c r="J21" s="398" t="n">
        <v>0</v>
      </c>
      <c r="K21" s="398" t="n">
        <f aca="false">H21+I21-J21</f>
        <v>5025896</v>
      </c>
      <c r="L21" s="402" t="n">
        <f aca="false">+G21-K21</f>
        <v>264523</v>
      </c>
      <c r="M21" s="402" t="n">
        <f aca="false">+C21-H21</f>
        <v>264523</v>
      </c>
    </row>
    <row r="22" customFormat="false" ht="13.5" hidden="false" customHeight="false" outlineLevel="0" collapsed="false">
      <c r="A22" s="375" t="s">
        <v>631</v>
      </c>
      <c r="B22" s="397"/>
      <c r="C22" s="398"/>
      <c r="D22" s="398"/>
      <c r="E22" s="398"/>
      <c r="F22" s="398"/>
      <c r="G22" s="398"/>
      <c r="H22" s="398"/>
      <c r="I22" s="398"/>
      <c r="J22" s="398"/>
      <c r="K22" s="398"/>
      <c r="L22" s="398"/>
      <c r="M22" s="402"/>
    </row>
    <row r="23" customFormat="false" ht="15" hidden="false" customHeight="false" outlineLevel="0" collapsed="false">
      <c r="A23" s="401" t="s">
        <v>632</v>
      </c>
      <c r="B23" s="397"/>
      <c r="C23" s="398"/>
      <c r="D23" s="398"/>
      <c r="E23" s="398"/>
      <c r="F23" s="398"/>
      <c r="G23" s="398"/>
      <c r="H23" s="398"/>
      <c r="I23" s="398"/>
      <c r="J23" s="398"/>
      <c r="K23" s="398"/>
      <c r="L23" s="398"/>
      <c r="M23" s="402"/>
    </row>
    <row r="24" customFormat="false" ht="13.5" hidden="false" customHeight="false" outlineLevel="0" collapsed="false">
      <c r="A24" s="375" t="s">
        <v>633</v>
      </c>
      <c r="B24" s="397"/>
      <c r="C24" s="398" t="n">
        <v>443010.75</v>
      </c>
      <c r="D24" s="398" t="n">
        <v>14067.8</v>
      </c>
      <c r="E24" s="399" t="n">
        <v>0</v>
      </c>
      <c r="F24" s="399" t="n">
        <v>0</v>
      </c>
      <c r="G24" s="398" t="n">
        <f aca="false">+C24+D24-E24-F24</f>
        <v>457078.55</v>
      </c>
      <c r="H24" s="400" t="n">
        <v>350317</v>
      </c>
      <c r="I24" s="402" t="n">
        <v>18696.61</v>
      </c>
      <c r="J24" s="399" t="n">
        <v>0</v>
      </c>
      <c r="K24" s="400" t="n">
        <f aca="false">H24+I24-J24</f>
        <v>369013.61</v>
      </c>
      <c r="L24" s="400" t="n">
        <f aca="false">+G24-K24</f>
        <v>88064.94</v>
      </c>
      <c r="M24" s="402" t="n">
        <f aca="false">+C24-H24</f>
        <v>92693.75</v>
      </c>
      <c r="R24" s="371" t="s">
        <v>634</v>
      </c>
    </row>
    <row r="25" customFormat="false" ht="13.5" hidden="false" customHeight="true" outlineLevel="0" collapsed="false">
      <c r="A25" s="404" t="s">
        <v>635</v>
      </c>
      <c r="B25" s="405"/>
      <c r="C25" s="406" t="n">
        <v>33934</v>
      </c>
      <c r="D25" s="407" t="n">
        <v>0</v>
      </c>
      <c r="E25" s="407" t="n">
        <v>0</v>
      </c>
      <c r="F25" s="407" t="n">
        <v>0</v>
      </c>
      <c r="G25" s="406" t="n">
        <f aca="false">+C25+D25-E25-F25</f>
        <v>33934</v>
      </c>
      <c r="H25" s="408" t="n">
        <v>24582</v>
      </c>
      <c r="I25" s="406" t="n">
        <v>3810.76</v>
      </c>
      <c r="J25" s="407" t="n">
        <v>0</v>
      </c>
      <c r="K25" s="408" t="n">
        <f aca="false">H25+I25-J25</f>
        <v>28392.76</v>
      </c>
      <c r="L25" s="408" t="n">
        <f aca="false">+G25-K25</f>
        <v>5541.24</v>
      </c>
      <c r="M25" s="402" t="n">
        <f aca="false">+C25-H25</f>
        <v>9352</v>
      </c>
      <c r="R25" s="371" t="s">
        <v>636</v>
      </c>
    </row>
    <row r="26" customFormat="false" ht="15" hidden="false" customHeight="false" outlineLevel="0" collapsed="false">
      <c r="A26" s="373" t="s">
        <v>351</v>
      </c>
      <c r="B26" s="409"/>
      <c r="C26" s="410" t="n">
        <f aca="false">SUM(C7:C25)</f>
        <v>8053178.75</v>
      </c>
      <c r="D26" s="410" t="n">
        <f aca="false">SUM(D7:D25)</f>
        <v>14067.8</v>
      </c>
      <c r="E26" s="410" t="n">
        <f aca="false">SUM(E7:E25)</f>
        <v>0</v>
      </c>
      <c r="F26" s="410" t="n">
        <f aca="false">SUM(F7:F25)</f>
        <v>0</v>
      </c>
      <c r="G26" s="410" t="n">
        <f aca="false">SUM(G7:G25)</f>
        <v>8067246.55</v>
      </c>
      <c r="H26" s="410" t="n">
        <f aca="false">SUM(H7:H25)</f>
        <v>7421325</v>
      </c>
      <c r="I26" s="410" t="n">
        <f aca="false">SUM(I7:I25)</f>
        <v>80163.58</v>
      </c>
      <c r="J26" s="410" t="n">
        <f aca="false">SUM(J7:J25)</f>
        <v>0</v>
      </c>
      <c r="K26" s="410" t="n">
        <f aca="false">SUM(K7:K25)</f>
        <v>7501488.58</v>
      </c>
      <c r="L26" s="373" t="n">
        <f aca="false">SUM(L7:L25)</f>
        <v>565757.97</v>
      </c>
      <c r="M26" s="410" t="n">
        <f aca="false">SUM(M7:M25)</f>
        <v>631853.75</v>
      </c>
      <c r="N26" s="372"/>
    </row>
    <row r="27" customFormat="false" ht="15" hidden="false" customHeight="false" outlineLevel="0" collapsed="false">
      <c r="A27" s="411" t="s">
        <v>637</v>
      </c>
      <c r="B27" s="412"/>
      <c r="C27" s="413" t="n">
        <v>7960676</v>
      </c>
      <c r="D27" s="414" t="n">
        <v>92502.75</v>
      </c>
      <c r="E27" s="413" t="n">
        <v>0</v>
      </c>
      <c r="F27" s="413" t="n">
        <v>0</v>
      </c>
      <c r="G27" s="414" t="n">
        <f aca="false">C27+D27-E27-F27</f>
        <v>8053178.75</v>
      </c>
      <c r="H27" s="413" t="n">
        <v>7345807</v>
      </c>
      <c r="I27" s="413" t="n">
        <v>75518</v>
      </c>
      <c r="J27" s="413" t="n">
        <v>0</v>
      </c>
      <c r="K27" s="413" t="n">
        <f aca="false">+H27+I27-J27</f>
        <v>7421325</v>
      </c>
      <c r="L27" s="411" t="n">
        <f aca="false">+G27-K27</f>
        <v>631853.75</v>
      </c>
      <c r="M27" s="413" t="n">
        <f aca="false">+C27-H27</f>
        <v>614869</v>
      </c>
    </row>
    <row r="28" customFormat="false" ht="13.5" hidden="false" customHeight="false" outlineLevel="0" collapsed="false">
      <c r="A28" s="375" t="s">
        <v>1</v>
      </c>
      <c r="B28" s="376"/>
      <c r="C28" s="415"/>
      <c r="D28" s="415"/>
      <c r="E28" s="415"/>
      <c r="F28" s="415"/>
      <c r="G28" s="415"/>
      <c r="H28" s="415"/>
      <c r="I28" s="415"/>
      <c r="J28" s="416"/>
      <c r="K28" s="415"/>
      <c r="L28" s="415"/>
      <c r="M28" s="397"/>
    </row>
    <row r="29" customFormat="false" ht="15" hidden="false" customHeight="false" outlineLevel="0" collapsed="false">
      <c r="A29" s="417" t="s">
        <v>638</v>
      </c>
      <c r="B29" s="418"/>
      <c r="C29" s="419" t="n">
        <v>0</v>
      </c>
      <c r="D29" s="418" t="n">
        <v>0</v>
      </c>
      <c r="E29" s="419" t="n">
        <v>0</v>
      </c>
      <c r="F29" s="419" t="n">
        <v>0</v>
      </c>
      <c r="G29" s="418" t="n">
        <f aca="false">+C29+D29-E29-F29</f>
        <v>0</v>
      </c>
      <c r="H29" s="419" t="n">
        <v>0</v>
      </c>
      <c r="I29" s="419" t="n">
        <v>0</v>
      </c>
      <c r="J29" s="419" t="n">
        <v>0</v>
      </c>
      <c r="K29" s="418" t="n">
        <v>0</v>
      </c>
      <c r="L29" s="419" t="n">
        <v>0</v>
      </c>
      <c r="M29" s="420" t="n">
        <v>0</v>
      </c>
    </row>
    <row r="30" customFormat="false" ht="15" hidden="false" customHeight="false" outlineLevel="0" collapsed="false">
      <c r="A30" s="373" t="s">
        <v>354</v>
      </c>
      <c r="B30" s="421"/>
      <c r="C30" s="410" t="n">
        <f aca="false">SUM(C29)</f>
        <v>0</v>
      </c>
      <c r="D30" s="410" t="n">
        <f aca="false">SUM(D29)</f>
        <v>0</v>
      </c>
      <c r="E30" s="410" t="n">
        <f aca="false">SUM(E29)</f>
        <v>0</v>
      </c>
      <c r="F30" s="410" t="n">
        <f aca="false">SUM(F29)</f>
        <v>0</v>
      </c>
      <c r="G30" s="410" t="n">
        <f aca="false">SUM(G29)</f>
        <v>0</v>
      </c>
      <c r="H30" s="410" t="n">
        <f aca="false">SUM(H29)</f>
        <v>0</v>
      </c>
      <c r="I30" s="410" t="n">
        <f aca="false">SUM(I29)</f>
        <v>0</v>
      </c>
      <c r="J30" s="410" t="n">
        <f aca="false">SUM(J29)</f>
        <v>0</v>
      </c>
      <c r="K30" s="410" t="n">
        <f aca="false">SUM(K29)</f>
        <v>0</v>
      </c>
      <c r="L30" s="410" t="n">
        <f aca="false">SUM(L29)</f>
        <v>0</v>
      </c>
      <c r="M30" s="410" t="n">
        <f aca="false">SUM(M29)</f>
        <v>0</v>
      </c>
    </row>
    <row r="31" customFormat="false" ht="15" hidden="false" customHeight="false" outlineLevel="0" collapsed="false">
      <c r="A31" s="411" t="s">
        <v>639</v>
      </c>
      <c r="B31" s="414"/>
      <c r="C31" s="413" t="n">
        <v>0</v>
      </c>
      <c r="D31" s="413" t="n">
        <v>0</v>
      </c>
      <c r="E31" s="413" t="n">
        <v>0</v>
      </c>
      <c r="F31" s="414" t="n">
        <v>0</v>
      </c>
      <c r="G31" s="413" t="n">
        <f aca="false">+C31+D31-E31-F31</f>
        <v>0</v>
      </c>
      <c r="H31" s="414" t="n">
        <v>0</v>
      </c>
      <c r="I31" s="413" t="n">
        <v>0</v>
      </c>
      <c r="J31" s="414" t="n">
        <v>0</v>
      </c>
      <c r="K31" s="413" t="n">
        <v>0</v>
      </c>
      <c r="L31" s="414" t="n">
        <f aca="false">+G31-K31</f>
        <v>0</v>
      </c>
      <c r="M31" s="413" t="n">
        <f aca="false">+C31-H31</f>
        <v>0</v>
      </c>
    </row>
    <row r="32" customFormat="false" ht="15" hidden="false" customHeight="false" outlineLevel="0" collapsed="false">
      <c r="A32" s="417" t="s">
        <v>640</v>
      </c>
      <c r="B32" s="422"/>
      <c r="C32" s="413" t="n">
        <f aca="false">+C30+C26</f>
        <v>8053178.75</v>
      </c>
      <c r="D32" s="413" t="n">
        <f aca="false">+D30+D26</f>
        <v>14067.8</v>
      </c>
      <c r="E32" s="413" t="n">
        <f aca="false">+E30+E26</f>
        <v>0</v>
      </c>
      <c r="F32" s="423"/>
      <c r="G32" s="413" t="n">
        <f aca="false">+G30+G26</f>
        <v>8067246.55</v>
      </c>
      <c r="H32" s="413" t="n">
        <f aca="false">+H30+H26</f>
        <v>7421325</v>
      </c>
      <c r="I32" s="413" t="n">
        <f aca="false">+I30+I26</f>
        <v>80163.58</v>
      </c>
      <c r="J32" s="413" t="n">
        <f aca="false">+J30+J26</f>
        <v>0</v>
      </c>
      <c r="K32" s="413" t="n">
        <f aca="false">+K30+K26</f>
        <v>7501488.58</v>
      </c>
      <c r="L32" s="413" t="n">
        <f aca="false">+L30+L26</f>
        <v>565757.97</v>
      </c>
      <c r="M32" s="413" t="n">
        <f aca="false">+M30+M26</f>
        <v>631853.75</v>
      </c>
    </row>
    <row r="33" customFormat="false" ht="15" hidden="false" customHeight="false" outlineLevel="0" collapsed="false">
      <c r="A33" s="424" t="s">
        <v>641</v>
      </c>
      <c r="B33" s="425"/>
      <c r="C33" s="413" t="n">
        <f aca="false">+C27+C31</f>
        <v>7960676</v>
      </c>
      <c r="D33" s="413" t="n">
        <f aca="false">+D27+D31</f>
        <v>92502.75</v>
      </c>
      <c r="E33" s="413" t="n">
        <f aca="false">+E27+E31</f>
        <v>0</v>
      </c>
      <c r="F33" s="413" t="n">
        <f aca="false">+F27+F31</f>
        <v>0</v>
      </c>
      <c r="G33" s="413" t="n">
        <f aca="false">+G27+G31</f>
        <v>8053178.75</v>
      </c>
      <c r="H33" s="413" t="n">
        <f aca="false">+H27+H31</f>
        <v>7345807</v>
      </c>
      <c r="I33" s="413" t="n">
        <f aca="false">+I27+I31</f>
        <v>75518</v>
      </c>
      <c r="J33" s="413" t="n">
        <f aca="false">+J27+J31</f>
        <v>0</v>
      </c>
      <c r="K33" s="413" t="n">
        <f aca="false">+K27+K31</f>
        <v>7421325</v>
      </c>
      <c r="L33" s="413" t="n">
        <f aca="false">+L27+L31</f>
        <v>631853.75</v>
      </c>
      <c r="M33" s="413" t="n">
        <f aca="false">+M27+M31</f>
        <v>614869</v>
      </c>
    </row>
  </sheetData>
  <mergeCells count="7">
    <mergeCell ref="C3:G3"/>
    <mergeCell ref="H3:K3"/>
    <mergeCell ref="L3:M3"/>
    <mergeCell ref="E4:E5"/>
    <mergeCell ref="F4:F5"/>
    <mergeCell ref="A10:B10"/>
    <mergeCell ref="A11:B11"/>
  </mergeCells>
  <printOptions headings="false" gridLines="false" gridLinesSet="true" horizontalCentered="false" verticalCentered="false"/>
  <pageMargins left="0.708333333333333" right="0.370138888888889" top="0.370138888888889"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2: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8" activeCellId="0" sqref="F8"/>
    </sheetView>
  </sheetViews>
  <sheetFormatPr defaultColWidth="9.0546875" defaultRowHeight="12.75" zeroHeight="false" outlineLevelRow="0" outlineLevelCol="0"/>
  <cols>
    <col collapsed="false" customWidth="true" hidden="false" outlineLevel="0" max="6" min="6" style="0" width="15.56"/>
    <col collapsed="false" customWidth="true" hidden="false" outlineLevel="0" max="9" min="9" style="0" width="15.85"/>
    <col collapsed="false" customWidth="true" hidden="false" outlineLevel="0" max="10" min="10" style="0" width="12.42"/>
  </cols>
  <sheetData>
    <row r="2" customFormat="false" ht="12.75" hidden="false" customHeight="false" outlineLevel="0" collapsed="false">
      <c r="F2" s="0" t="s">
        <v>642</v>
      </c>
    </row>
    <row r="3" customFormat="false" ht="12.75" hidden="false" customHeight="false" outlineLevel="0" collapsed="false">
      <c r="D3" s="0" t="s">
        <v>643</v>
      </c>
    </row>
    <row r="5" customFormat="false" ht="12.75" hidden="false" customHeight="false" outlineLevel="0" collapsed="false">
      <c r="D5" s="0" t="s">
        <v>644</v>
      </c>
      <c r="F5" s="426" t="n">
        <f aca="false">'Financial Stmt_As per SCH-III'!G39</f>
        <v>71260850</v>
      </c>
      <c r="G5" s="0" t="s">
        <v>645</v>
      </c>
      <c r="I5" s="0" t="n">
        <f aca="false">'Financial Stmt_As per SCH-III'!F66</f>
        <v>39062200</v>
      </c>
    </row>
    <row r="6" customFormat="false" ht="12.75" hidden="false" customHeight="false" outlineLevel="0" collapsed="false">
      <c r="D6" s="0" t="s">
        <v>646</v>
      </c>
      <c r="F6" s="0" t="n">
        <f aca="false">'Financial Stmt_As per SCH-III'!F72</f>
        <v>36146528.33</v>
      </c>
      <c r="G6" s="0" t="s">
        <v>647</v>
      </c>
      <c r="I6" s="426" t="n">
        <f aca="false">'Financial Stmt_As per SCH-III'!F39</f>
        <v>75322850</v>
      </c>
    </row>
    <row r="8" customFormat="false" ht="12.75" hidden="false" customHeight="false" outlineLevel="0" collapsed="false">
      <c r="D8" s="0" t="s">
        <v>648</v>
      </c>
      <c r="F8" s="0" t="n">
        <f aca="false">+F10-SUM(F5:F7)</f>
        <v>6977671.67</v>
      </c>
    </row>
    <row r="10" customFormat="false" ht="12.75" hidden="false" customHeight="false" outlineLevel="0" collapsed="false">
      <c r="F10" s="0" t="n">
        <f aca="false">+I10</f>
        <v>114385050</v>
      </c>
      <c r="I10" s="0" t="n">
        <f aca="false">SUM(I5:I8)</f>
        <v>114385050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2018-06-06T11:18:35Z</dcterms:created>
  <dc:creator>UserRP3</dc:creator>
  <dc:description/>
  <dc:language>en-US</dc:language>
  <cp:lastModifiedBy>SKCAC-Shashikant Arya</cp:lastModifiedBy>
  <cp:lastPrinted>2026-02-26T11:46:12Z</cp:lastPrinted>
  <dcterms:modified xsi:type="dcterms:W3CDTF">2026-04-06T13:49:50Z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A9DEDC3A6B304A64AC84BC804043DF00</vt:lpwstr>
  </property>
  <property fmtid="{D5CDD505-2E9C-101B-9397-08002B2CF9AE}" pid="3" name="KSOProductBuildVer">
    <vt:lpwstr>1033-11.2.0.11254</vt:lpwstr>
  </property>
</Properties>
</file>